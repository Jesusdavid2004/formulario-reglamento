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JESUS DAVID\Desktop\documentos word anf pdf cedenar\"/>
    </mc:Choice>
  </mc:AlternateContent>
  <xr:revisionPtr revIDLastSave="0" documentId="8_{13B03A5E-E253-4A34-8096-EDB28D966CF3}" xr6:coauthVersionLast="47" xr6:coauthVersionMax="47" xr10:uidLastSave="{00000000-0000-0000-0000-000000000000}"/>
  <bookViews>
    <workbookView xWindow="-108" yWindow="-108" windowWidth="23256" windowHeight="12456" xr2:uid="{DAD72618-2DB0-4FBE-A844-94DAA31A0A82}"/>
  </bookViews>
  <sheets>
    <sheet name="Hoja1" sheetId="1" r:id="rId1"/>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682" i="1" l="1"/>
  <c r="G682" i="1"/>
  <c r="I682" i="1" s="1"/>
  <c r="H681" i="1"/>
  <c r="G681" i="1"/>
  <c r="I681" i="1" s="1"/>
  <c r="H680" i="1"/>
  <c r="G680" i="1"/>
  <c r="I680" i="1" s="1"/>
  <c r="H679" i="1"/>
  <c r="G679" i="1"/>
  <c r="I679" i="1" s="1"/>
  <c r="H678" i="1"/>
  <c r="G678" i="1"/>
  <c r="I678" i="1" s="1"/>
  <c r="H677" i="1"/>
  <c r="G677" i="1"/>
  <c r="I677" i="1" s="1"/>
  <c r="H676" i="1"/>
  <c r="H684" i="1" s="1"/>
  <c r="G676" i="1"/>
  <c r="G684" i="1" s="1"/>
  <c r="J668" i="1"/>
  <c r="I668" i="1"/>
  <c r="H668" i="1"/>
  <c r="L668" i="1" s="1"/>
  <c r="G668" i="1"/>
  <c r="K668" i="1" s="1"/>
  <c r="M668" i="1" s="1"/>
  <c r="J667" i="1"/>
  <c r="I667" i="1"/>
  <c r="H667" i="1"/>
  <c r="L667" i="1" s="1"/>
  <c r="G667" i="1"/>
  <c r="K667" i="1" s="1"/>
  <c r="M667" i="1" s="1"/>
  <c r="J666" i="1"/>
  <c r="I666" i="1"/>
  <c r="H666" i="1"/>
  <c r="L666" i="1" s="1"/>
  <c r="G666" i="1"/>
  <c r="K666" i="1" s="1"/>
  <c r="M666" i="1" s="1"/>
  <c r="L665" i="1"/>
  <c r="K665" i="1"/>
  <c r="M665" i="1" s="1"/>
  <c r="J665" i="1"/>
  <c r="I665" i="1"/>
  <c r="H665" i="1"/>
  <c r="G665" i="1"/>
  <c r="L664" i="1"/>
  <c r="J664" i="1"/>
  <c r="I664" i="1"/>
  <c r="H664" i="1"/>
  <c r="G664" i="1"/>
  <c r="K664" i="1" s="1"/>
  <c r="M664" i="1" s="1"/>
  <c r="J663" i="1"/>
  <c r="L663" i="1" s="1"/>
  <c r="I663" i="1"/>
  <c r="H663" i="1"/>
  <c r="G663" i="1"/>
  <c r="K663" i="1" s="1"/>
  <c r="M663" i="1" s="1"/>
  <c r="J662" i="1"/>
  <c r="I662" i="1"/>
  <c r="H662" i="1"/>
  <c r="L662" i="1" s="1"/>
  <c r="G662" i="1"/>
  <c r="K662" i="1" s="1"/>
  <c r="M662" i="1" s="1"/>
  <c r="J661" i="1"/>
  <c r="J670" i="1" s="1"/>
  <c r="I661" i="1"/>
  <c r="K661" i="1" s="1"/>
  <c r="H661" i="1"/>
  <c r="L661" i="1" s="1"/>
  <c r="L670" i="1" s="1"/>
  <c r="G661" i="1"/>
  <c r="G670" i="1" s="1"/>
  <c r="H653" i="1"/>
  <c r="N651" i="1"/>
  <c r="M651" i="1"/>
  <c r="L651" i="1"/>
  <c r="K651" i="1"/>
  <c r="J651" i="1"/>
  <c r="I651" i="1"/>
  <c r="H651" i="1"/>
  <c r="P651" i="1" s="1"/>
  <c r="G651" i="1"/>
  <c r="O651" i="1" s="1"/>
  <c r="Q651" i="1" s="1"/>
  <c r="O650" i="1"/>
  <c r="N650" i="1"/>
  <c r="M650" i="1"/>
  <c r="L650" i="1"/>
  <c r="P650" i="1" s="1"/>
  <c r="K650" i="1"/>
  <c r="J650" i="1"/>
  <c r="I650" i="1"/>
  <c r="H650" i="1"/>
  <c r="G650" i="1"/>
  <c r="N649" i="1"/>
  <c r="M649" i="1"/>
  <c r="L649" i="1"/>
  <c r="K649" i="1"/>
  <c r="J649" i="1"/>
  <c r="I649" i="1"/>
  <c r="I653" i="1" s="1"/>
  <c r="I655" i="1" s="1"/>
  <c r="H649" i="1"/>
  <c r="P649" i="1" s="1"/>
  <c r="G649" i="1"/>
  <c r="O649" i="1" s="1"/>
  <c r="Q649" i="1" s="1"/>
  <c r="N648" i="1"/>
  <c r="M648" i="1"/>
  <c r="L648" i="1"/>
  <c r="K648" i="1"/>
  <c r="J648" i="1"/>
  <c r="I648" i="1"/>
  <c r="H648" i="1"/>
  <c r="P648" i="1" s="1"/>
  <c r="G648" i="1"/>
  <c r="O648" i="1" s="1"/>
  <c r="Q648" i="1" s="1"/>
  <c r="P647" i="1"/>
  <c r="O647" i="1"/>
  <c r="Q647" i="1" s="1"/>
  <c r="N647" i="1"/>
  <c r="M647" i="1"/>
  <c r="L647" i="1"/>
  <c r="K647" i="1"/>
  <c r="J647" i="1"/>
  <c r="I647" i="1"/>
  <c r="H647" i="1"/>
  <c r="G647" i="1"/>
  <c r="N646" i="1"/>
  <c r="M646" i="1"/>
  <c r="L646" i="1"/>
  <c r="K646" i="1"/>
  <c r="J646" i="1"/>
  <c r="I646" i="1"/>
  <c r="H646" i="1"/>
  <c r="P646" i="1" s="1"/>
  <c r="G646" i="1"/>
  <c r="O646" i="1" s="1"/>
  <c r="Q646" i="1" s="1"/>
  <c r="N645" i="1"/>
  <c r="M645" i="1"/>
  <c r="L645" i="1"/>
  <c r="K645" i="1"/>
  <c r="J645" i="1"/>
  <c r="I645" i="1"/>
  <c r="H645" i="1"/>
  <c r="P645" i="1" s="1"/>
  <c r="G645" i="1"/>
  <c r="O645" i="1" s="1"/>
  <c r="Q645" i="1" s="1"/>
  <c r="N644" i="1"/>
  <c r="N653" i="1" s="1"/>
  <c r="M644" i="1"/>
  <c r="M653" i="1" s="1"/>
  <c r="M655" i="1" s="1"/>
  <c r="L644" i="1"/>
  <c r="L653" i="1" s="1"/>
  <c r="K644" i="1"/>
  <c r="K653" i="1" s="1"/>
  <c r="J644" i="1"/>
  <c r="J653" i="1" s="1"/>
  <c r="I644" i="1"/>
  <c r="H644" i="1"/>
  <c r="G644" i="1"/>
  <c r="G653" i="1" s="1"/>
  <c r="G655" i="1" s="1"/>
  <c r="K634" i="1"/>
  <c r="J634" i="1"/>
  <c r="I634" i="1"/>
  <c r="H634" i="1"/>
  <c r="L634" i="1" s="1"/>
  <c r="K633" i="1"/>
  <c r="J633" i="1"/>
  <c r="I633" i="1"/>
  <c r="H633" i="1"/>
  <c r="L633" i="1" s="1"/>
  <c r="K632" i="1"/>
  <c r="J632" i="1"/>
  <c r="I632" i="1"/>
  <c r="H632" i="1"/>
  <c r="L632" i="1" s="1"/>
  <c r="K631" i="1"/>
  <c r="J631" i="1"/>
  <c r="I631" i="1"/>
  <c r="H631" i="1"/>
  <c r="L631" i="1" s="1"/>
  <c r="L630" i="1"/>
  <c r="K630" i="1"/>
  <c r="J630" i="1"/>
  <c r="I630" i="1"/>
  <c r="H630" i="1"/>
  <c r="K629" i="1"/>
  <c r="J629" i="1"/>
  <c r="I629" i="1"/>
  <c r="H629" i="1"/>
  <c r="L629" i="1" s="1"/>
  <c r="K628" i="1"/>
  <c r="J628" i="1"/>
  <c r="I628" i="1"/>
  <c r="H628" i="1"/>
  <c r="L628" i="1" s="1"/>
  <c r="K627" i="1"/>
  <c r="K636" i="1" s="1"/>
  <c r="J627" i="1"/>
  <c r="J636" i="1" s="1"/>
  <c r="I627" i="1"/>
  <c r="I636" i="1" s="1"/>
  <c r="H627" i="1"/>
  <c r="H636" i="1" s="1"/>
  <c r="J618" i="1"/>
  <c r="I618" i="1"/>
  <c r="H618" i="1"/>
  <c r="D618" i="1"/>
  <c r="J617" i="1"/>
  <c r="I617" i="1"/>
  <c r="H617" i="1"/>
  <c r="D617" i="1"/>
  <c r="J616" i="1"/>
  <c r="I616" i="1"/>
  <c r="H616" i="1"/>
  <c r="I615" i="1"/>
  <c r="H615" i="1"/>
  <c r="J615" i="1" s="1"/>
  <c r="I614" i="1"/>
  <c r="H614" i="1"/>
  <c r="J614" i="1" s="1"/>
  <c r="I613" i="1"/>
  <c r="H613" i="1"/>
  <c r="J613" i="1" s="1"/>
  <c r="I612" i="1"/>
  <c r="H612" i="1"/>
  <c r="J612" i="1" s="1"/>
  <c r="D612" i="1"/>
  <c r="I611" i="1"/>
  <c r="I619" i="1" s="1"/>
  <c r="H611" i="1"/>
  <c r="H619" i="1" s="1"/>
  <c r="D611" i="1"/>
  <c r="D610" i="1"/>
  <c r="D613" i="1" s="1"/>
  <c r="D609" i="1"/>
  <c r="D602" i="1"/>
  <c r="H601" i="1"/>
  <c r="D601" i="1"/>
  <c r="H600" i="1"/>
  <c r="H602" i="1" s="1"/>
  <c r="D600" i="1"/>
  <c r="D599" i="1"/>
  <c r="D603" i="1" s="1"/>
  <c r="D621" i="1" s="1"/>
  <c r="N591" i="1"/>
  <c r="L591" i="1"/>
  <c r="K591" i="1"/>
  <c r="N590" i="1"/>
  <c r="L590" i="1"/>
  <c r="K590" i="1"/>
  <c r="N589" i="1"/>
  <c r="L589" i="1"/>
  <c r="K589" i="1"/>
  <c r="N588" i="1"/>
  <c r="L588" i="1"/>
  <c r="K588" i="1"/>
  <c r="N587" i="1"/>
  <c r="L587" i="1"/>
  <c r="K587" i="1"/>
  <c r="N586" i="1"/>
  <c r="L586" i="1"/>
  <c r="K586" i="1"/>
  <c r="N585" i="1"/>
  <c r="L585" i="1"/>
  <c r="K585" i="1"/>
  <c r="N584" i="1"/>
  <c r="L584" i="1"/>
  <c r="K584" i="1"/>
  <c r="N583" i="1"/>
  <c r="L583" i="1"/>
  <c r="K583" i="1"/>
  <c r="N582" i="1"/>
  <c r="L582" i="1"/>
  <c r="K582" i="1"/>
  <c r="N581" i="1"/>
  <c r="L581" i="1"/>
  <c r="K581" i="1"/>
  <c r="N580" i="1"/>
  <c r="L580" i="1"/>
  <c r="K580" i="1"/>
  <c r="N579" i="1"/>
  <c r="L579" i="1"/>
  <c r="K579" i="1"/>
  <c r="N578" i="1"/>
  <c r="L578" i="1"/>
  <c r="K578" i="1"/>
  <c r="N577" i="1"/>
  <c r="L577" i="1"/>
  <c r="K577" i="1"/>
  <c r="N576" i="1"/>
  <c r="L576" i="1"/>
  <c r="K576" i="1"/>
  <c r="N575" i="1"/>
  <c r="L575" i="1"/>
  <c r="K575" i="1"/>
  <c r="N574" i="1"/>
  <c r="L574" i="1"/>
  <c r="K574" i="1"/>
  <c r="N573" i="1"/>
  <c r="L573" i="1"/>
  <c r="K573" i="1"/>
  <c r="N572" i="1"/>
  <c r="L572" i="1"/>
  <c r="K572" i="1"/>
  <c r="N571" i="1"/>
  <c r="L571" i="1"/>
  <c r="K571" i="1"/>
  <c r="N570" i="1"/>
  <c r="L570" i="1"/>
  <c r="K570" i="1"/>
  <c r="N569" i="1"/>
  <c r="L569" i="1"/>
  <c r="K569" i="1"/>
  <c r="N568" i="1"/>
  <c r="L568" i="1"/>
  <c r="K568" i="1"/>
  <c r="N567" i="1"/>
  <c r="L567" i="1"/>
  <c r="K567" i="1"/>
  <c r="N566" i="1"/>
  <c r="L566" i="1"/>
  <c r="K566" i="1"/>
  <c r="N565" i="1"/>
  <c r="L565" i="1"/>
  <c r="K565" i="1"/>
  <c r="N564" i="1"/>
  <c r="L564" i="1"/>
  <c r="K564" i="1"/>
  <c r="N563" i="1"/>
  <c r="L563" i="1"/>
  <c r="K563" i="1"/>
  <c r="N562" i="1"/>
  <c r="L562" i="1"/>
  <c r="K562" i="1"/>
  <c r="N561" i="1"/>
  <c r="L561" i="1"/>
  <c r="K561" i="1"/>
  <c r="N560" i="1"/>
  <c r="L560" i="1"/>
  <c r="K560" i="1"/>
  <c r="N559" i="1"/>
  <c r="L559" i="1"/>
  <c r="K559" i="1"/>
  <c r="N558" i="1"/>
  <c r="L558" i="1"/>
  <c r="K558" i="1"/>
  <c r="N557" i="1"/>
  <c r="L557" i="1"/>
  <c r="K557" i="1"/>
  <c r="N556" i="1"/>
  <c r="L556" i="1"/>
  <c r="K556" i="1"/>
  <c r="N555" i="1"/>
  <c r="L555" i="1"/>
  <c r="K555" i="1"/>
  <c r="N554" i="1"/>
  <c r="L554" i="1"/>
  <c r="K554" i="1"/>
  <c r="N553" i="1"/>
  <c r="L553" i="1"/>
  <c r="K553" i="1"/>
  <c r="N552" i="1"/>
  <c r="L552" i="1"/>
  <c r="K552" i="1"/>
  <c r="N551" i="1"/>
  <c r="L551" i="1"/>
  <c r="K551" i="1"/>
  <c r="N550" i="1"/>
  <c r="L550" i="1"/>
  <c r="K550" i="1"/>
  <c r="N549" i="1"/>
  <c r="L549" i="1"/>
  <c r="K549" i="1"/>
  <c r="N548" i="1"/>
  <c r="L548" i="1"/>
  <c r="K548" i="1"/>
  <c r="N547" i="1"/>
  <c r="L547" i="1"/>
  <c r="K547" i="1"/>
  <c r="N546" i="1"/>
  <c r="L546" i="1"/>
  <c r="K546" i="1"/>
  <c r="N545" i="1"/>
  <c r="L545" i="1"/>
  <c r="K545" i="1"/>
  <c r="N544" i="1"/>
  <c r="L544" i="1"/>
  <c r="K544" i="1"/>
  <c r="N543" i="1"/>
  <c r="L543" i="1"/>
  <c r="K543" i="1"/>
  <c r="N542" i="1"/>
  <c r="L542" i="1"/>
  <c r="K542" i="1"/>
  <c r="N541" i="1"/>
  <c r="L541" i="1"/>
  <c r="K541" i="1"/>
  <c r="N540" i="1"/>
  <c r="L540" i="1"/>
  <c r="K540" i="1"/>
  <c r="N539" i="1"/>
  <c r="L539" i="1"/>
  <c r="K539" i="1"/>
  <c r="N538" i="1"/>
  <c r="L538" i="1"/>
  <c r="K538" i="1"/>
  <c r="N537" i="1"/>
  <c r="L537" i="1"/>
  <c r="K537" i="1"/>
  <c r="N536" i="1"/>
  <c r="L536" i="1"/>
  <c r="K536" i="1"/>
  <c r="N535" i="1"/>
  <c r="L535" i="1"/>
  <c r="K535" i="1"/>
  <c r="N534" i="1"/>
  <c r="L534" i="1"/>
  <c r="K534" i="1"/>
  <c r="N533" i="1"/>
  <c r="L533" i="1"/>
  <c r="K533" i="1"/>
  <c r="N532" i="1"/>
  <c r="L532" i="1"/>
  <c r="K532" i="1"/>
  <c r="N531" i="1"/>
  <c r="L531" i="1"/>
  <c r="K531" i="1"/>
  <c r="N530" i="1"/>
  <c r="L530" i="1"/>
  <c r="K530" i="1"/>
  <c r="N529" i="1"/>
  <c r="L529" i="1"/>
  <c r="K529" i="1"/>
  <c r="N528" i="1"/>
  <c r="L528" i="1"/>
  <c r="K528" i="1"/>
  <c r="N527" i="1"/>
  <c r="L527" i="1"/>
  <c r="K527" i="1"/>
  <c r="N526" i="1"/>
  <c r="L526" i="1"/>
  <c r="K526" i="1"/>
  <c r="N525" i="1"/>
  <c r="L525" i="1"/>
  <c r="K525" i="1"/>
  <c r="N524" i="1"/>
  <c r="L524" i="1"/>
  <c r="K524" i="1"/>
  <c r="N523" i="1"/>
  <c r="L523" i="1"/>
  <c r="K523" i="1"/>
  <c r="N522" i="1"/>
  <c r="L522" i="1"/>
  <c r="K522" i="1"/>
  <c r="N521" i="1"/>
  <c r="L521" i="1"/>
  <c r="K521" i="1"/>
  <c r="N520" i="1"/>
  <c r="L520" i="1"/>
  <c r="K520" i="1"/>
  <c r="N519" i="1"/>
  <c r="L519" i="1"/>
  <c r="K519" i="1"/>
  <c r="N518" i="1"/>
  <c r="L518" i="1"/>
  <c r="K518" i="1"/>
  <c r="N517" i="1"/>
  <c r="L517" i="1"/>
  <c r="K517" i="1"/>
  <c r="N516" i="1"/>
  <c r="L516" i="1"/>
  <c r="K516" i="1"/>
  <c r="N515" i="1"/>
  <c r="L515" i="1"/>
  <c r="K515" i="1"/>
  <c r="N514" i="1"/>
  <c r="L514" i="1"/>
  <c r="K514" i="1"/>
  <c r="N513" i="1"/>
  <c r="L513" i="1"/>
  <c r="K513" i="1"/>
  <c r="N512" i="1"/>
  <c r="L512" i="1"/>
  <c r="K512" i="1"/>
  <c r="N511" i="1"/>
  <c r="L511" i="1"/>
  <c r="K511" i="1"/>
  <c r="N510" i="1"/>
  <c r="L510" i="1"/>
  <c r="K510" i="1"/>
  <c r="N509" i="1"/>
  <c r="L509" i="1"/>
  <c r="K509" i="1"/>
  <c r="N508" i="1"/>
  <c r="L508" i="1"/>
  <c r="K508" i="1"/>
  <c r="N507" i="1"/>
  <c r="L507" i="1"/>
  <c r="K507" i="1"/>
  <c r="N506" i="1"/>
  <c r="L506" i="1"/>
  <c r="K506" i="1"/>
  <c r="N505" i="1"/>
  <c r="L505" i="1"/>
  <c r="K505" i="1"/>
  <c r="N504" i="1"/>
  <c r="L504" i="1"/>
  <c r="K504" i="1"/>
  <c r="N503" i="1"/>
  <c r="L503" i="1"/>
  <c r="K503" i="1"/>
  <c r="N502" i="1"/>
  <c r="L502" i="1"/>
  <c r="K502" i="1"/>
  <c r="N501" i="1"/>
  <c r="L501" i="1"/>
  <c r="K501" i="1"/>
  <c r="N500" i="1"/>
  <c r="L500" i="1"/>
  <c r="K500" i="1"/>
  <c r="N499" i="1"/>
  <c r="L499" i="1"/>
  <c r="K499" i="1"/>
  <c r="N498" i="1"/>
  <c r="L498" i="1"/>
  <c r="K498" i="1"/>
  <c r="N497" i="1"/>
  <c r="L497" i="1"/>
  <c r="K497" i="1"/>
  <c r="N496" i="1"/>
  <c r="L496" i="1"/>
  <c r="K496" i="1"/>
  <c r="N495" i="1"/>
  <c r="L495" i="1"/>
  <c r="K495" i="1"/>
  <c r="N494" i="1"/>
  <c r="L494" i="1"/>
  <c r="K494" i="1"/>
  <c r="N493" i="1"/>
  <c r="L493" i="1"/>
  <c r="K493" i="1"/>
  <c r="N492" i="1"/>
  <c r="L492" i="1"/>
  <c r="K492" i="1"/>
  <c r="N491" i="1"/>
  <c r="L491" i="1"/>
  <c r="K491" i="1"/>
  <c r="N490" i="1"/>
  <c r="L490" i="1"/>
  <c r="K490" i="1"/>
  <c r="N489" i="1"/>
  <c r="L489" i="1"/>
  <c r="K489" i="1"/>
  <c r="N488" i="1"/>
  <c r="L488" i="1"/>
  <c r="K488" i="1"/>
  <c r="N487" i="1"/>
  <c r="L487" i="1"/>
  <c r="K487" i="1"/>
  <c r="N486" i="1"/>
  <c r="L486" i="1"/>
  <c r="K486" i="1"/>
  <c r="N485" i="1"/>
  <c r="L485" i="1"/>
  <c r="K485" i="1"/>
  <c r="N484" i="1"/>
  <c r="L484" i="1"/>
  <c r="K484" i="1"/>
  <c r="N483" i="1"/>
  <c r="L483" i="1"/>
  <c r="K483" i="1"/>
  <c r="N482" i="1"/>
  <c r="L482" i="1"/>
  <c r="K482" i="1"/>
  <c r="N481" i="1"/>
  <c r="L481" i="1"/>
  <c r="K481" i="1"/>
  <c r="N480" i="1"/>
  <c r="L480" i="1"/>
  <c r="K480" i="1"/>
  <c r="N479" i="1"/>
  <c r="L479" i="1"/>
  <c r="K479" i="1"/>
  <c r="N478" i="1"/>
  <c r="L478" i="1"/>
  <c r="K478" i="1"/>
  <c r="N477" i="1"/>
  <c r="L477" i="1"/>
  <c r="K477" i="1"/>
  <c r="N476" i="1"/>
  <c r="L476" i="1"/>
  <c r="K476" i="1"/>
  <c r="N475" i="1"/>
  <c r="L475" i="1"/>
  <c r="K475" i="1"/>
  <c r="N474" i="1"/>
  <c r="L474" i="1"/>
  <c r="K474" i="1"/>
  <c r="N473" i="1"/>
  <c r="L473" i="1"/>
  <c r="K473" i="1"/>
  <c r="N472" i="1"/>
  <c r="L472" i="1"/>
  <c r="K472" i="1"/>
  <c r="N471" i="1"/>
  <c r="L471" i="1"/>
  <c r="K471" i="1"/>
  <c r="N470" i="1"/>
  <c r="L470" i="1"/>
  <c r="K470" i="1"/>
  <c r="N469" i="1"/>
  <c r="L469" i="1"/>
  <c r="K469" i="1"/>
  <c r="N468" i="1"/>
  <c r="L468" i="1"/>
  <c r="K468" i="1"/>
  <c r="N467" i="1"/>
  <c r="L467" i="1"/>
  <c r="K467" i="1"/>
  <c r="N466" i="1"/>
  <c r="L466" i="1"/>
  <c r="K466" i="1"/>
  <c r="N465" i="1"/>
  <c r="L465" i="1"/>
  <c r="K465" i="1"/>
  <c r="N464" i="1"/>
  <c r="L464" i="1"/>
  <c r="K464" i="1"/>
  <c r="N463" i="1"/>
  <c r="L463" i="1"/>
  <c r="K463" i="1"/>
  <c r="N462" i="1"/>
  <c r="L462" i="1"/>
  <c r="K462" i="1"/>
  <c r="N461" i="1"/>
  <c r="L461" i="1"/>
  <c r="K461" i="1"/>
  <c r="N460" i="1"/>
  <c r="L460" i="1"/>
  <c r="K460" i="1"/>
  <c r="N459" i="1"/>
  <c r="L459" i="1"/>
  <c r="K459" i="1"/>
  <c r="N458" i="1"/>
  <c r="L458" i="1"/>
  <c r="K458" i="1"/>
  <c r="N457" i="1"/>
  <c r="L457" i="1"/>
  <c r="K457" i="1"/>
  <c r="N456" i="1"/>
  <c r="L456" i="1"/>
  <c r="K456" i="1"/>
  <c r="N455" i="1"/>
  <c r="L455" i="1"/>
  <c r="K455" i="1"/>
  <c r="N454" i="1"/>
  <c r="L454" i="1"/>
  <c r="K454" i="1"/>
  <c r="N453" i="1"/>
  <c r="L453" i="1"/>
  <c r="K453" i="1"/>
  <c r="N452" i="1"/>
  <c r="L452" i="1"/>
  <c r="K452" i="1"/>
  <c r="N451" i="1"/>
  <c r="L451" i="1"/>
  <c r="K451" i="1"/>
  <c r="N450" i="1"/>
  <c r="L450" i="1"/>
  <c r="K450" i="1"/>
  <c r="N449" i="1"/>
  <c r="L449" i="1"/>
  <c r="K449" i="1"/>
  <c r="N448" i="1"/>
  <c r="L448" i="1"/>
  <c r="K448" i="1"/>
  <c r="N447" i="1"/>
  <c r="L447" i="1"/>
  <c r="K447" i="1"/>
  <c r="N446" i="1"/>
  <c r="L446" i="1"/>
  <c r="K446" i="1"/>
  <c r="N445" i="1"/>
  <c r="L445" i="1"/>
  <c r="K445" i="1"/>
  <c r="N444" i="1"/>
  <c r="L444" i="1"/>
  <c r="K444" i="1"/>
  <c r="N443" i="1"/>
  <c r="L443" i="1"/>
  <c r="K443" i="1"/>
  <c r="N442" i="1"/>
  <c r="L442" i="1"/>
  <c r="K442" i="1"/>
  <c r="N441" i="1"/>
  <c r="L441" i="1"/>
  <c r="K441" i="1"/>
  <c r="N440" i="1"/>
  <c r="L440" i="1"/>
  <c r="K440" i="1"/>
  <c r="N439" i="1"/>
  <c r="L439" i="1"/>
  <c r="K439" i="1"/>
  <c r="N438" i="1"/>
  <c r="L438" i="1"/>
  <c r="K438" i="1"/>
  <c r="N437" i="1"/>
  <c r="L437" i="1"/>
  <c r="K437" i="1"/>
  <c r="N436" i="1"/>
  <c r="L436" i="1"/>
  <c r="K436" i="1"/>
  <c r="N435" i="1"/>
  <c r="L435" i="1"/>
  <c r="K435" i="1"/>
  <c r="N434" i="1"/>
  <c r="L434" i="1"/>
  <c r="K434" i="1"/>
  <c r="N433" i="1"/>
  <c r="L433" i="1"/>
  <c r="K433" i="1"/>
  <c r="N432" i="1"/>
  <c r="L432" i="1"/>
  <c r="K432" i="1"/>
  <c r="N431" i="1"/>
  <c r="L431" i="1"/>
  <c r="K431" i="1"/>
  <c r="N430" i="1"/>
  <c r="L430" i="1"/>
  <c r="K430" i="1"/>
  <c r="N429" i="1"/>
  <c r="L429" i="1"/>
  <c r="K429" i="1"/>
  <c r="N428" i="1"/>
  <c r="L428" i="1"/>
  <c r="K428" i="1"/>
  <c r="N427" i="1"/>
  <c r="L427" i="1"/>
  <c r="K427" i="1"/>
  <c r="N426" i="1"/>
  <c r="L426" i="1"/>
  <c r="K426" i="1"/>
  <c r="N425" i="1"/>
  <c r="L425" i="1"/>
  <c r="K425" i="1"/>
  <c r="N424" i="1"/>
  <c r="L424" i="1"/>
  <c r="K424" i="1"/>
  <c r="N423" i="1"/>
  <c r="L423" i="1"/>
  <c r="K423" i="1"/>
  <c r="N422" i="1"/>
  <c r="L422" i="1"/>
  <c r="K422" i="1"/>
  <c r="N421" i="1"/>
  <c r="L421" i="1"/>
  <c r="K421" i="1"/>
  <c r="N420" i="1"/>
  <c r="L420" i="1"/>
  <c r="K420" i="1"/>
  <c r="N419" i="1"/>
  <c r="L419" i="1"/>
  <c r="K419" i="1"/>
  <c r="N418" i="1"/>
  <c r="L418" i="1"/>
  <c r="K418" i="1"/>
  <c r="N417" i="1"/>
  <c r="L417" i="1"/>
  <c r="K417" i="1"/>
  <c r="N416" i="1"/>
  <c r="L416" i="1"/>
  <c r="K416" i="1"/>
  <c r="N415" i="1"/>
  <c r="L415" i="1"/>
  <c r="K415" i="1"/>
  <c r="N414" i="1"/>
  <c r="L414" i="1"/>
  <c r="K414" i="1"/>
  <c r="N413" i="1"/>
  <c r="L413" i="1"/>
  <c r="K413" i="1"/>
  <c r="N412" i="1"/>
  <c r="L412" i="1"/>
  <c r="K412" i="1"/>
  <c r="N411" i="1"/>
  <c r="L411" i="1"/>
  <c r="K411" i="1"/>
  <c r="N410" i="1"/>
  <c r="L410" i="1"/>
  <c r="K410" i="1"/>
  <c r="N409" i="1"/>
  <c r="L409" i="1"/>
  <c r="K409" i="1"/>
  <c r="N408" i="1"/>
  <c r="L408" i="1"/>
  <c r="K408" i="1"/>
  <c r="N407" i="1"/>
  <c r="L407" i="1"/>
  <c r="K407" i="1"/>
  <c r="N406" i="1"/>
  <c r="L406" i="1"/>
  <c r="K406" i="1"/>
  <c r="N405" i="1"/>
  <c r="L405" i="1"/>
  <c r="K405" i="1"/>
  <c r="N404" i="1"/>
  <c r="L404" i="1"/>
  <c r="K404" i="1"/>
  <c r="N403" i="1"/>
  <c r="L403" i="1"/>
  <c r="K403" i="1"/>
  <c r="N402" i="1"/>
  <c r="L402" i="1"/>
  <c r="K402" i="1"/>
  <c r="N401" i="1"/>
  <c r="L401" i="1"/>
  <c r="K401" i="1"/>
  <c r="N400" i="1"/>
  <c r="L400" i="1"/>
  <c r="K400" i="1"/>
  <c r="N399" i="1"/>
  <c r="L399" i="1"/>
  <c r="K399" i="1"/>
  <c r="N398" i="1"/>
  <c r="L398" i="1"/>
  <c r="K398" i="1"/>
  <c r="N397" i="1"/>
  <c r="L397" i="1"/>
  <c r="K397" i="1"/>
  <c r="N396" i="1"/>
  <c r="L396" i="1"/>
  <c r="K396" i="1"/>
  <c r="N395" i="1"/>
  <c r="L395" i="1"/>
  <c r="K395" i="1"/>
  <c r="N394" i="1"/>
  <c r="L394" i="1"/>
  <c r="K394" i="1"/>
  <c r="N393" i="1"/>
  <c r="L393" i="1"/>
  <c r="K393" i="1"/>
  <c r="N392" i="1"/>
  <c r="L392" i="1"/>
  <c r="K392" i="1"/>
  <c r="N391" i="1"/>
  <c r="L391" i="1"/>
  <c r="K391" i="1"/>
  <c r="N390" i="1"/>
  <c r="L390" i="1"/>
  <c r="K390" i="1"/>
  <c r="N389" i="1"/>
  <c r="L389" i="1"/>
  <c r="K389" i="1"/>
  <c r="N388" i="1"/>
  <c r="L388" i="1"/>
  <c r="K388" i="1"/>
  <c r="N387" i="1"/>
  <c r="L387" i="1"/>
  <c r="K387" i="1"/>
  <c r="N386" i="1"/>
  <c r="L386" i="1"/>
  <c r="K386" i="1"/>
  <c r="N385" i="1"/>
  <c r="L385" i="1"/>
  <c r="K385" i="1"/>
  <c r="N384" i="1"/>
  <c r="L384" i="1"/>
  <c r="K384" i="1"/>
  <c r="N383" i="1"/>
  <c r="L383" i="1"/>
  <c r="K383" i="1"/>
  <c r="N382" i="1"/>
  <c r="L382" i="1"/>
  <c r="K382" i="1"/>
  <c r="N381" i="1"/>
  <c r="L381" i="1"/>
  <c r="K381" i="1"/>
  <c r="N380" i="1"/>
  <c r="L380" i="1"/>
  <c r="K380" i="1"/>
  <c r="N379" i="1"/>
  <c r="L379" i="1"/>
  <c r="K379" i="1"/>
  <c r="N378" i="1"/>
  <c r="L378" i="1"/>
  <c r="K378" i="1"/>
  <c r="N377" i="1"/>
  <c r="L377" i="1"/>
  <c r="K377" i="1"/>
  <c r="N376" i="1"/>
  <c r="L376" i="1"/>
  <c r="K376" i="1"/>
  <c r="N375" i="1"/>
  <c r="L375" i="1"/>
  <c r="K375" i="1"/>
  <c r="N374" i="1"/>
  <c r="L374" i="1"/>
  <c r="K374" i="1"/>
  <c r="N373" i="1"/>
  <c r="L373" i="1"/>
  <c r="K373" i="1"/>
  <c r="N372" i="1"/>
  <c r="L372" i="1"/>
  <c r="K372" i="1"/>
  <c r="N371" i="1"/>
  <c r="L371" i="1"/>
  <c r="K371" i="1"/>
  <c r="N370" i="1"/>
  <c r="L370" i="1"/>
  <c r="K370" i="1"/>
  <c r="N369" i="1"/>
  <c r="L369" i="1"/>
  <c r="K369" i="1"/>
  <c r="N368" i="1"/>
  <c r="L368" i="1"/>
  <c r="K368" i="1"/>
  <c r="N367" i="1"/>
  <c r="L367" i="1"/>
  <c r="K367" i="1"/>
  <c r="N366" i="1"/>
  <c r="L366" i="1"/>
  <c r="K366" i="1"/>
  <c r="N365" i="1"/>
  <c r="L365" i="1"/>
  <c r="K365" i="1"/>
  <c r="N364" i="1"/>
  <c r="L364" i="1"/>
  <c r="K364" i="1"/>
  <c r="N363" i="1"/>
  <c r="L363" i="1"/>
  <c r="K363" i="1"/>
  <c r="N362" i="1"/>
  <c r="L362" i="1"/>
  <c r="K362" i="1"/>
  <c r="N361" i="1"/>
  <c r="L361" i="1"/>
  <c r="K361" i="1"/>
  <c r="N360" i="1"/>
  <c r="L360" i="1"/>
  <c r="K360" i="1"/>
  <c r="N359" i="1"/>
  <c r="L359" i="1"/>
  <c r="K359" i="1"/>
  <c r="N358" i="1"/>
  <c r="L358" i="1"/>
  <c r="K358" i="1"/>
  <c r="N357" i="1"/>
  <c r="L357" i="1"/>
  <c r="K357" i="1"/>
  <c r="N356" i="1"/>
  <c r="L356" i="1"/>
  <c r="K356" i="1"/>
  <c r="N355" i="1"/>
  <c r="L355" i="1"/>
  <c r="K355" i="1"/>
  <c r="N354" i="1"/>
  <c r="L354" i="1"/>
  <c r="K354" i="1"/>
  <c r="N353" i="1"/>
  <c r="L353" i="1"/>
  <c r="K353" i="1"/>
  <c r="N352" i="1"/>
  <c r="L352" i="1"/>
  <c r="K352" i="1"/>
  <c r="N351" i="1"/>
  <c r="L351" i="1"/>
  <c r="K351" i="1"/>
  <c r="N350" i="1"/>
  <c r="L350" i="1"/>
  <c r="K350" i="1"/>
  <c r="N349" i="1"/>
  <c r="L349" i="1"/>
  <c r="K349" i="1"/>
  <c r="N348" i="1"/>
  <c r="L348" i="1"/>
  <c r="K348" i="1"/>
  <c r="N347" i="1"/>
  <c r="L347" i="1"/>
  <c r="K347" i="1"/>
  <c r="N346" i="1"/>
  <c r="L346" i="1"/>
  <c r="K346" i="1"/>
  <c r="N345" i="1"/>
  <c r="L345" i="1"/>
  <c r="K345" i="1"/>
  <c r="N344" i="1"/>
  <c r="L344" i="1"/>
  <c r="K344" i="1"/>
  <c r="N343" i="1"/>
  <c r="L343" i="1"/>
  <c r="K343" i="1"/>
  <c r="N342" i="1"/>
  <c r="L342" i="1"/>
  <c r="K342" i="1"/>
  <c r="N341" i="1"/>
  <c r="L341" i="1"/>
  <c r="K341" i="1"/>
  <c r="N340" i="1"/>
  <c r="L340" i="1"/>
  <c r="K340" i="1"/>
  <c r="N339" i="1"/>
  <c r="L339" i="1"/>
  <c r="K339" i="1"/>
  <c r="N338" i="1"/>
  <c r="L338" i="1"/>
  <c r="K338" i="1"/>
  <c r="N337" i="1"/>
  <c r="L337" i="1"/>
  <c r="K337" i="1"/>
  <c r="N336" i="1"/>
  <c r="L336" i="1"/>
  <c r="K336" i="1"/>
  <c r="N335" i="1"/>
  <c r="L335" i="1"/>
  <c r="K335" i="1"/>
  <c r="N334" i="1"/>
  <c r="L334" i="1"/>
  <c r="K334" i="1"/>
  <c r="N333" i="1"/>
  <c r="L333" i="1"/>
  <c r="K333" i="1"/>
  <c r="N332" i="1"/>
  <c r="L332" i="1"/>
  <c r="K332" i="1"/>
  <c r="N331" i="1"/>
  <c r="L331" i="1"/>
  <c r="K331" i="1"/>
  <c r="N330" i="1"/>
  <c r="L330" i="1"/>
  <c r="K330" i="1"/>
  <c r="N329" i="1"/>
  <c r="L329" i="1"/>
  <c r="K329" i="1"/>
  <c r="N328" i="1"/>
  <c r="L328" i="1"/>
  <c r="K328" i="1"/>
  <c r="N327" i="1"/>
  <c r="L327" i="1"/>
  <c r="K327" i="1"/>
  <c r="N326" i="1"/>
  <c r="L326" i="1"/>
  <c r="K326" i="1"/>
  <c r="N325" i="1"/>
  <c r="L325" i="1"/>
  <c r="K325" i="1"/>
  <c r="N324" i="1"/>
  <c r="L324" i="1"/>
  <c r="K324" i="1"/>
  <c r="N323" i="1"/>
  <c r="L323" i="1"/>
  <c r="K323" i="1"/>
  <c r="N322" i="1"/>
  <c r="L322" i="1"/>
  <c r="K322" i="1"/>
  <c r="N321" i="1"/>
  <c r="L321" i="1"/>
  <c r="K321" i="1"/>
  <c r="N320" i="1"/>
  <c r="L320" i="1"/>
  <c r="K320" i="1"/>
  <c r="N319" i="1"/>
  <c r="L319" i="1"/>
  <c r="K319" i="1"/>
  <c r="N318" i="1"/>
  <c r="L318" i="1"/>
  <c r="K318" i="1"/>
  <c r="N317" i="1"/>
  <c r="L317" i="1"/>
  <c r="K317" i="1"/>
  <c r="N316" i="1"/>
  <c r="L316" i="1"/>
  <c r="K316" i="1"/>
  <c r="N315" i="1"/>
  <c r="L315" i="1"/>
  <c r="K315" i="1"/>
  <c r="N314" i="1"/>
  <c r="L314" i="1"/>
  <c r="K314" i="1"/>
  <c r="N313" i="1"/>
  <c r="L313" i="1"/>
  <c r="K313" i="1"/>
  <c r="N312" i="1"/>
  <c r="L312" i="1"/>
  <c r="K312" i="1"/>
  <c r="N311" i="1"/>
  <c r="L311" i="1"/>
  <c r="K311" i="1"/>
  <c r="N310" i="1"/>
  <c r="L310" i="1"/>
  <c r="K310" i="1"/>
  <c r="N309" i="1"/>
  <c r="L309" i="1"/>
  <c r="K309" i="1"/>
  <c r="N308" i="1"/>
  <c r="L308" i="1"/>
  <c r="K308" i="1"/>
  <c r="N307" i="1"/>
  <c r="L307" i="1"/>
  <c r="K307" i="1"/>
  <c r="N306" i="1"/>
  <c r="L306" i="1"/>
  <c r="K306" i="1"/>
  <c r="N305" i="1"/>
  <c r="L305" i="1"/>
  <c r="K305" i="1"/>
  <c r="N304" i="1"/>
  <c r="L304" i="1"/>
  <c r="K304" i="1"/>
  <c r="N303" i="1"/>
  <c r="L303" i="1"/>
  <c r="K303" i="1"/>
  <c r="N302" i="1"/>
  <c r="L302" i="1"/>
  <c r="K302" i="1"/>
  <c r="N301" i="1"/>
  <c r="L301" i="1"/>
  <c r="K301" i="1"/>
  <c r="N300" i="1"/>
  <c r="L300" i="1"/>
  <c r="K300" i="1"/>
  <c r="N299" i="1"/>
  <c r="L299" i="1"/>
  <c r="K299" i="1"/>
  <c r="N298" i="1"/>
  <c r="L298" i="1"/>
  <c r="K298" i="1"/>
  <c r="N297" i="1"/>
  <c r="L297" i="1"/>
  <c r="K297" i="1"/>
  <c r="N296" i="1"/>
  <c r="L296" i="1"/>
  <c r="K296" i="1"/>
  <c r="N295" i="1"/>
  <c r="L295" i="1"/>
  <c r="K295" i="1"/>
  <c r="N294" i="1"/>
  <c r="L294" i="1"/>
  <c r="K294" i="1"/>
  <c r="N293" i="1"/>
  <c r="L293" i="1"/>
  <c r="K293" i="1"/>
  <c r="N292" i="1"/>
  <c r="L292" i="1"/>
  <c r="K292" i="1"/>
  <c r="N291" i="1"/>
  <c r="L291" i="1"/>
  <c r="K291" i="1"/>
  <c r="N290" i="1"/>
  <c r="L290" i="1"/>
  <c r="K290" i="1"/>
  <c r="N289" i="1"/>
  <c r="L289" i="1"/>
  <c r="K289" i="1"/>
  <c r="N288" i="1"/>
  <c r="L288" i="1"/>
  <c r="K288" i="1"/>
  <c r="N287" i="1"/>
  <c r="L287" i="1"/>
  <c r="K287" i="1"/>
  <c r="N286" i="1"/>
  <c r="L286" i="1"/>
  <c r="K286" i="1"/>
  <c r="N285" i="1"/>
  <c r="L285" i="1"/>
  <c r="K285" i="1"/>
  <c r="N284" i="1"/>
  <c r="L284" i="1"/>
  <c r="K284" i="1"/>
  <c r="N283" i="1"/>
  <c r="L283" i="1"/>
  <c r="K283" i="1"/>
  <c r="N282" i="1"/>
  <c r="L282" i="1"/>
  <c r="K282" i="1"/>
  <c r="N281" i="1"/>
  <c r="L281" i="1"/>
  <c r="K281" i="1"/>
  <c r="N280" i="1"/>
  <c r="L280" i="1"/>
  <c r="K280" i="1"/>
  <c r="N279" i="1"/>
  <c r="L279" i="1"/>
  <c r="K279" i="1"/>
  <c r="N278" i="1"/>
  <c r="L278" i="1"/>
  <c r="K278" i="1"/>
  <c r="N277" i="1"/>
  <c r="L277" i="1"/>
  <c r="K277" i="1"/>
  <c r="N276" i="1"/>
  <c r="L276" i="1"/>
  <c r="K276" i="1"/>
  <c r="N275" i="1"/>
  <c r="L275" i="1"/>
  <c r="K275" i="1"/>
  <c r="N274" i="1"/>
  <c r="L274" i="1"/>
  <c r="K274" i="1"/>
  <c r="N273" i="1"/>
  <c r="L273" i="1"/>
  <c r="K273" i="1"/>
  <c r="N272" i="1"/>
  <c r="L272" i="1"/>
  <c r="K272" i="1"/>
  <c r="N271" i="1"/>
  <c r="L271" i="1"/>
  <c r="K271" i="1"/>
  <c r="N270" i="1"/>
  <c r="L270" i="1"/>
  <c r="K270" i="1"/>
  <c r="N269" i="1"/>
  <c r="L269" i="1"/>
  <c r="K269" i="1"/>
  <c r="N268" i="1"/>
  <c r="L268" i="1"/>
  <c r="K268" i="1"/>
  <c r="N267" i="1"/>
  <c r="L267" i="1"/>
  <c r="K267" i="1"/>
  <c r="N266" i="1"/>
  <c r="L266" i="1"/>
  <c r="K266" i="1"/>
  <c r="N265" i="1"/>
  <c r="L265" i="1"/>
  <c r="K265" i="1"/>
  <c r="N264" i="1"/>
  <c r="L264" i="1"/>
  <c r="K264" i="1"/>
  <c r="N263" i="1"/>
  <c r="L263" i="1"/>
  <c r="K263" i="1"/>
  <c r="N262" i="1"/>
  <c r="L262" i="1"/>
  <c r="K262" i="1"/>
  <c r="N261" i="1"/>
  <c r="L261" i="1"/>
  <c r="K261" i="1"/>
  <c r="N260" i="1"/>
  <c r="L260" i="1"/>
  <c r="K260" i="1"/>
  <c r="N259" i="1"/>
  <c r="L259" i="1"/>
  <c r="K259" i="1"/>
  <c r="N258" i="1"/>
  <c r="L258" i="1"/>
  <c r="K258" i="1"/>
  <c r="N257" i="1"/>
  <c r="L257" i="1"/>
  <c r="K257" i="1"/>
  <c r="N256" i="1"/>
  <c r="L256" i="1"/>
  <c r="K256" i="1"/>
  <c r="N255" i="1"/>
  <c r="L255" i="1"/>
  <c r="K255" i="1"/>
  <c r="N254" i="1"/>
  <c r="L254" i="1"/>
  <c r="K254" i="1"/>
  <c r="N253" i="1"/>
  <c r="L253" i="1"/>
  <c r="K253" i="1"/>
  <c r="N252" i="1"/>
  <c r="L252" i="1"/>
  <c r="K252" i="1"/>
  <c r="N251" i="1"/>
  <c r="L251" i="1"/>
  <c r="K251" i="1"/>
  <c r="N250" i="1"/>
  <c r="L250" i="1"/>
  <c r="K250" i="1"/>
  <c r="N249" i="1"/>
  <c r="L249" i="1"/>
  <c r="K249" i="1"/>
  <c r="N248" i="1"/>
  <c r="L248" i="1"/>
  <c r="K248" i="1"/>
  <c r="N247" i="1"/>
  <c r="L247" i="1"/>
  <c r="K247" i="1"/>
  <c r="N246" i="1"/>
  <c r="L246" i="1"/>
  <c r="K246" i="1"/>
  <c r="N245" i="1"/>
  <c r="L245" i="1"/>
  <c r="K245" i="1"/>
  <c r="N244" i="1"/>
  <c r="L244" i="1"/>
  <c r="K244" i="1"/>
  <c r="N243" i="1"/>
  <c r="L243" i="1"/>
  <c r="K243" i="1"/>
  <c r="N242" i="1"/>
  <c r="L242" i="1"/>
  <c r="K242" i="1"/>
  <c r="N241" i="1"/>
  <c r="L241" i="1"/>
  <c r="K241" i="1"/>
  <c r="N240" i="1"/>
  <c r="L240" i="1"/>
  <c r="K240" i="1"/>
  <c r="N239" i="1"/>
  <c r="L239" i="1"/>
  <c r="K239" i="1"/>
  <c r="N238" i="1"/>
  <c r="L238" i="1"/>
  <c r="K238" i="1"/>
  <c r="N237" i="1"/>
  <c r="L237" i="1"/>
  <c r="K237" i="1"/>
  <c r="N236" i="1"/>
  <c r="L236" i="1"/>
  <c r="K236" i="1"/>
  <c r="N235" i="1"/>
  <c r="L235" i="1"/>
  <c r="K235" i="1"/>
  <c r="N234" i="1"/>
  <c r="L234" i="1"/>
  <c r="K234" i="1"/>
  <c r="N233" i="1"/>
  <c r="L233" i="1"/>
  <c r="K233" i="1"/>
  <c r="N232" i="1"/>
  <c r="L232" i="1"/>
  <c r="K232" i="1"/>
  <c r="N231" i="1"/>
  <c r="L231" i="1"/>
  <c r="K231" i="1"/>
  <c r="N230" i="1"/>
  <c r="L230" i="1"/>
  <c r="K230" i="1"/>
  <c r="N229" i="1"/>
  <c r="L229" i="1"/>
  <c r="K229" i="1"/>
  <c r="N228" i="1"/>
  <c r="L228" i="1"/>
  <c r="K228" i="1"/>
  <c r="N227" i="1"/>
  <c r="L227" i="1"/>
  <c r="K227" i="1"/>
  <c r="N226" i="1"/>
  <c r="L226" i="1"/>
  <c r="K226" i="1"/>
  <c r="N225" i="1"/>
  <c r="L225" i="1"/>
  <c r="K225" i="1"/>
  <c r="N224" i="1"/>
  <c r="L224" i="1"/>
  <c r="K224" i="1"/>
  <c r="N223" i="1"/>
  <c r="L223" i="1"/>
  <c r="K223" i="1"/>
  <c r="N222" i="1"/>
  <c r="L222" i="1"/>
  <c r="K222" i="1"/>
  <c r="N221" i="1"/>
  <c r="L221" i="1"/>
  <c r="K221" i="1"/>
  <c r="N220" i="1"/>
  <c r="L220" i="1"/>
  <c r="K220" i="1"/>
  <c r="N219" i="1"/>
  <c r="L219" i="1"/>
  <c r="K219" i="1"/>
  <c r="N218" i="1"/>
  <c r="L218" i="1"/>
  <c r="K218" i="1"/>
  <c r="N217" i="1"/>
  <c r="L217" i="1"/>
  <c r="K217" i="1"/>
  <c r="N216" i="1"/>
  <c r="L216" i="1"/>
  <c r="K216" i="1"/>
  <c r="N215" i="1"/>
  <c r="L215" i="1"/>
  <c r="K215" i="1"/>
  <c r="N214" i="1"/>
  <c r="L214" i="1"/>
  <c r="K214" i="1"/>
  <c r="N213" i="1"/>
  <c r="L213" i="1"/>
  <c r="K213" i="1"/>
  <c r="N212" i="1"/>
  <c r="L212" i="1"/>
  <c r="K212" i="1"/>
  <c r="N211" i="1"/>
  <c r="L211" i="1"/>
  <c r="K211" i="1"/>
  <c r="N210" i="1"/>
  <c r="L210" i="1"/>
  <c r="K210" i="1"/>
  <c r="N209" i="1"/>
  <c r="L209" i="1"/>
  <c r="K209" i="1"/>
  <c r="N208" i="1"/>
  <c r="L208" i="1"/>
  <c r="K208" i="1"/>
  <c r="N207" i="1"/>
  <c r="L207" i="1"/>
  <c r="K207" i="1"/>
  <c r="N206" i="1"/>
  <c r="L206" i="1"/>
  <c r="K206" i="1"/>
  <c r="N205" i="1"/>
  <c r="L205" i="1"/>
  <c r="K205" i="1"/>
  <c r="N204" i="1"/>
  <c r="L204" i="1"/>
  <c r="K204" i="1"/>
  <c r="N203" i="1"/>
  <c r="L203" i="1"/>
  <c r="K203" i="1"/>
  <c r="N202" i="1"/>
  <c r="L202" i="1"/>
  <c r="K202" i="1"/>
  <c r="N201" i="1"/>
  <c r="L201" i="1"/>
  <c r="K201" i="1"/>
  <c r="N200" i="1"/>
  <c r="L200" i="1"/>
  <c r="K200" i="1"/>
  <c r="N199" i="1"/>
  <c r="L199" i="1"/>
  <c r="K199" i="1"/>
  <c r="N198" i="1"/>
  <c r="L198" i="1"/>
  <c r="K198" i="1"/>
  <c r="N197" i="1"/>
  <c r="L197" i="1"/>
  <c r="K197" i="1"/>
  <c r="N196" i="1"/>
  <c r="L196" i="1"/>
  <c r="K196" i="1"/>
  <c r="N195" i="1"/>
  <c r="L195" i="1"/>
  <c r="K195" i="1"/>
  <c r="N194" i="1"/>
  <c r="L194" i="1"/>
  <c r="K194" i="1"/>
  <c r="N193" i="1"/>
  <c r="L193" i="1"/>
  <c r="K193" i="1"/>
  <c r="N192" i="1"/>
  <c r="L192" i="1"/>
  <c r="K192" i="1"/>
  <c r="N191" i="1"/>
  <c r="L191" i="1"/>
  <c r="K191" i="1"/>
  <c r="N190" i="1"/>
  <c r="L190" i="1"/>
  <c r="K190" i="1"/>
  <c r="N189" i="1"/>
  <c r="L189" i="1"/>
  <c r="K189" i="1"/>
  <c r="N188" i="1"/>
  <c r="L188" i="1"/>
  <c r="K188" i="1"/>
  <c r="N187" i="1"/>
  <c r="L187" i="1"/>
  <c r="K187" i="1"/>
  <c r="N186" i="1"/>
  <c r="L186" i="1"/>
  <c r="K186" i="1"/>
  <c r="N185" i="1"/>
  <c r="L185" i="1"/>
  <c r="K185" i="1"/>
  <c r="N184" i="1"/>
  <c r="L184" i="1"/>
  <c r="K184" i="1"/>
  <c r="N183" i="1"/>
  <c r="L183" i="1"/>
  <c r="K183" i="1"/>
  <c r="N182" i="1"/>
  <c r="L182" i="1"/>
  <c r="K182" i="1"/>
  <c r="N181" i="1"/>
  <c r="L181" i="1"/>
  <c r="K181" i="1"/>
  <c r="N180" i="1"/>
  <c r="L180" i="1"/>
  <c r="K180" i="1"/>
  <c r="N179" i="1"/>
  <c r="L179" i="1"/>
  <c r="K179" i="1"/>
  <c r="N178" i="1"/>
  <c r="L178" i="1"/>
  <c r="K178" i="1"/>
  <c r="N177" i="1"/>
  <c r="L177" i="1"/>
  <c r="K177" i="1"/>
  <c r="N176" i="1"/>
  <c r="L176" i="1"/>
  <c r="K176" i="1"/>
  <c r="N175" i="1"/>
  <c r="L175" i="1"/>
  <c r="K175" i="1"/>
  <c r="N174" i="1"/>
  <c r="L174" i="1"/>
  <c r="K174" i="1"/>
  <c r="N173" i="1"/>
  <c r="L173" i="1"/>
  <c r="K173" i="1"/>
  <c r="N172" i="1"/>
  <c r="L172" i="1"/>
  <c r="K172" i="1"/>
  <c r="N171" i="1"/>
  <c r="L171" i="1"/>
  <c r="K171" i="1"/>
  <c r="N170" i="1"/>
  <c r="L170" i="1"/>
  <c r="K170" i="1"/>
  <c r="N169" i="1"/>
  <c r="L169" i="1"/>
  <c r="K169" i="1"/>
  <c r="N168" i="1"/>
  <c r="L168" i="1"/>
  <c r="K168" i="1"/>
  <c r="N167" i="1"/>
  <c r="L167" i="1"/>
  <c r="K167" i="1"/>
  <c r="N166" i="1"/>
  <c r="L166" i="1"/>
  <c r="K166" i="1"/>
  <c r="N165" i="1"/>
  <c r="L165" i="1"/>
  <c r="K165" i="1"/>
  <c r="N164" i="1"/>
  <c r="L164" i="1"/>
  <c r="K164" i="1"/>
  <c r="N163" i="1"/>
  <c r="L163" i="1"/>
  <c r="K163" i="1"/>
  <c r="N162" i="1"/>
  <c r="L162" i="1"/>
  <c r="K162" i="1"/>
  <c r="N161" i="1"/>
  <c r="L161" i="1"/>
  <c r="K161" i="1"/>
  <c r="N160" i="1"/>
  <c r="L160" i="1"/>
  <c r="K160" i="1"/>
  <c r="N159" i="1"/>
  <c r="L159" i="1"/>
  <c r="K159" i="1"/>
  <c r="N158" i="1"/>
  <c r="L158" i="1"/>
  <c r="K158" i="1"/>
  <c r="N157" i="1"/>
  <c r="L157" i="1"/>
  <c r="K157" i="1"/>
  <c r="N156" i="1"/>
  <c r="L156" i="1"/>
  <c r="K156" i="1"/>
  <c r="N155" i="1"/>
  <c r="L155" i="1"/>
  <c r="K155" i="1"/>
  <c r="N154" i="1"/>
  <c r="L154" i="1"/>
  <c r="K154" i="1"/>
  <c r="N153" i="1"/>
  <c r="L153" i="1"/>
  <c r="K153" i="1"/>
  <c r="N152" i="1"/>
  <c r="L152" i="1"/>
  <c r="K152" i="1"/>
  <c r="N151" i="1"/>
  <c r="L151" i="1"/>
  <c r="K151" i="1"/>
  <c r="N150" i="1"/>
  <c r="L150" i="1"/>
  <c r="K150" i="1"/>
  <c r="N149" i="1"/>
  <c r="L149" i="1"/>
  <c r="K149" i="1"/>
  <c r="N148" i="1"/>
  <c r="L148" i="1"/>
  <c r="K148" i="1"/>
  <c r="N147" i="1"/>
  <c r="L147" i="1"/>
  <c r="K147" i="1"/>
  <c r="N146" i="1"/>
  <c r="L146" i="1"/>
  <c r="K146" i="1"/>
  <c r="N145" i="1"/>
  <c r="L145" i="1"/>
  <c r="K145" i="1"/>
  <c r="N144" i="1"/>
  <c r="L144" i="1"/>
  <c r="K144" i="1"/>
  <c r="N143" i="1"/>
  <c r="L143" i="1"/>
  <c r="K143" i="1"/>
  <c r="N142" i="1"/>
  <c r="L142" i="1"/>
  <c r="K142" i="1"/>
  <c r="N141" i="1"/>
  <c r="L141" i="1"/>
  <c r="K141" i="1"/>
  <c r="N140" i="1"/>
  <c r="L140" i="1"/>
  <c r="K140" i="1"/>
  <c r="N139" i="1"/>
  <c r="L139" i="1"/>
  <c r="K139" i="1"/>
  <c r="N138" i="1"/>
  <c r="L138" i="1"/>
  <c r="K138" i="1"/>
  <c r="N137" i="1"/>
  <c r="L137" i="1"/>
  <c r="K137" i="1"/>
  <c r="N136" i="1"/>
  <c r="L136" i="1"/>
  <c r="K136" i="1"/>
  <c r="N135" i="1"/>
  <c r="L135" i="1"/>
  <c r="K135" i="1"/>
  <c r="N134" i="1"/>
  <c r="L134" i="1"/>
  <c r="K134" i="1"/>
  <c r="N133" i="1"/>
  <c r="L133" i="1"/>
  <c r="K133" i="1"/>
  <c r="N132" i="1"/>
  <c r="L132" i="1"/>
  <c r="K132" i="1"/>
  <c r="N131" i="1"/>
  <c r="L131" i="1"/>
  <c r="K131" i="1"/>
  <c r="N130" i="1"/>
  <c r="L130" i="1"/>
  <c r="K130" i="1"/>
  <c r="N129" i="1"/>
  <c r="L129" i="1"/>
  <c r="K129" i="1"/>
  <c r="N128" i="1"/>
  <c r="L128" i="1"/>
  <c r="K128" i="1"/>
  <c r="N127" i="1"/>
  <c r="L127" i="1"/>
  <c r="K127" i="1"/>
  <c r="N126" i="1"/>
  <c r="L126" i="1"/>
  <c r="K126" i="1"/>
  <c r="N125" i="1"/>
  <c r="L125" i="1"/>
  <c r="K125" i="1"/>
  <c r="N124" i="1"/>
  <c r="L124" i="1"/>
  <c r="K124" i="1"/>
  <c r="N123" i="1"/>
  <c r="L123" i="1"/>
  <c r="K123" i="1"/>
  <c r="N122" i="1"/>
  <c r="L122" i="1"/>
  <c r="K122" i="1"/>
  <c r="N121" i="1"/>
  <c r="L121" i="1"/>
  <c r="K121" i="1"/>
  <c r="N120" i="1"/>
  <c r="L120" i="1"/>
  <c r="K120" i="1"/>
  <c r="N119" i="1"/>
  <c r="L119" i="1"/>
  <c r="K119" i="1"/>
  <c r="N118" i="1"/>
  <c r="L118" i="1"/>
  <c r="K118" i="1"/>
  <c r="N117" i="1"/>
  <c r="L117" i="1"/>
  <c r="K117" i="1"/>
  <c r="N116" i="1"/>
  <c r="L116" i="1"/>
  <c r="K116" i="1"/>
  <c r="N115" i="1"/>
  <c r="L115" i="1"/>
  <c r="K115" i="1"/>
  <c r="N114" i="1"/>
  <c r="L114" i="1"/>
  <c r="K114" i="1"/>
  <c r="N113" i="1"/>
  <c r="L113" i="1"/>
  <c r="K113" i="1"/>
  <c r="N112" i="1"/>
  <c r="L112" i="1"/>
  <c r="K112" i="1"/>
  <c r="N111" i="1"/>
  <c r="L111" i="1"/>
  <c r="K111" i="1"/>
  <c r="N110" i="1"/>
  <c r="L110" i="1"/>
  <c r="K110" i="1"/>
  <c r="N109" i="1"/>
  <c r="L109" i="1"/>
  <c r="K109" i="1"/>
  <c r="N108" i="1"/>
  <c r="L108" i="1"/>
  <c r="K108" i="1"/>
  <c r="N107" i="1"/>
  <c r="L107" i="1"/>
  <c r="K107" i="1"/>
  <c r="N106" i="1"/>
  <c r="L106" i="1"/>
  <c r="K106" i="1"/>
  <c r="N105" i="1"/>
  <c r="L105" i="1"/>
  <c r="K105" i="1"/>
  <c r="N104" i="1"/>
  <c r="L104" i="1"/>
  <c r="K104" i="1"/>
  <c r="N103" i="1"/>
  <c r="L103" i="1"/>
  <c r="K103" i="1"/>
  <c r="N102" i="1"/>
  <c r="L102" i="1"/>
  <c r="K102" i="1"/>
  <c r="N101" i="1"/>
  <c r="L101" i="1"/>
  <c r="K101" i="1"/>
  <c r="N100" i="1"/>
  <c r="L100" i="1"/>
  <c r="K100" i="1"/>
  <c r="N99" i="1"/>
  <c r="L99" i="1"/>
  <c r="K99" i="1"/>
  <c r="N98" i="1"/>
  <c r="L98" i="1"/>
  <c r="K98" i="1"/>
  <c r="N97" i="1"/>
  <c r="L97" i="1"/>
  <c r="K97" i="1"/>
  <c r="N96" i="1"/>
  <c r="L96" i="1"/>
  <c r="K96" i="1"/>
  <c r="N95" i="1"/>
  <c r="L95" i="1"/>
  <c r="K95" i="1"/>
  <c r="N94" i="1"/>
  <c r="L94" i="1"/>
  <c r="K94" i="1"/>
  <c r="N93" i="1"/>
  <c r="L93" i="1"/>
  <c r="K93" i="1"/>
  <c r="N92" i="1"/>
  <c r="L92" i="1"/>
  <c r="K92" i="1"/>
  <c r="N91" i="1"/>
  <c r="L91" i="1"/>
  <c r="K91" i="1"/>
  <c r="N90" i="1"/>
  <c r="L90" i="1"/>
  <c r="K90" i="1"/>
  <c r="N89" i="1"/>
  <c r="L89" i="1"/>
  <c r="K89" i="1"/>
  <c r="N88" i="1"/>
  <c r="L88" i="1"/>
  <c r="K88" i="1"/>
  <c r="N87" i="1"/>
  <c r="L87" i="1"/>
  <c r="K87" i="1"/>
  <c r="N86" i="1"/>
  <c r="L86" i="1"/>
  <c r="K86" i="1"/>
  <c r="N85" i="1"/>
  <c r="L85" i="1"/>
  <c r="K85" i="1"/>
  <c r="N84" i="1"/>
  <c r="L84" i="1"/>
  <c r="K84" i="1"/>
  <c r="N83" i="1"/>
  <c r="L83" i="1"/>
  <c r="K83" i="1"/>
  <c r="N82" i="1"/>
  <c r="L82" i="1"/>
  <c r="K82" i="1"/>
  <c r="N81" i="1"/>
  <c r="L81" i="1"/>
  <c r="K81" i="1"/>
  <c r="N80" i="1"/>
  <c r="L80" i="1"/>
  <c r="K80" i="1"/>
  <c r="N79" i="1"/>
  <c r="L79" i="1"/>
  <c r="K79" i="1"/>
  <c r="N78" i="1"/>
  <c r="L78" i="1"/>
  <c r="K78" i="1"/>
  <c r="N77" i="1"/>
  <c r="L77" i="1"/>
  <c r="K77" i="1"/>
  <c r="N76" i="1"/>
  <c r="L76" i="1"/>
  <c r="K76" i="1"/>
  <c r="N75" i="1"/>
  <c r="L75" i="1"/>
  <c r="K75" i="1"/>
  <c r="N74" i="1"/>
  <c r="L74" i="1"/>
  <c r="K74" i="1"/>
  <c r="N73" i="1"/>
  <c r="L73" i="1"/>
  <c r="K73" i="1"/>
  <c r="N72" i="1"/>
  <c r="L72" i="1"/>
  <c r="K72" i="1"/>
  <c r="N71" i="1"/>
  <c r="L71" i="1"/>
  <c r="K71" i="1"/>
  <c r="N70" i="1"/>
  <c r="L70" i="1"/>
  <c r="K70" i="1"/>
  <c r="N69" i="1"/>
  <c r="L69" i="1"/>
  <c r="K69" i="1"/>
  <c r="N68" i="1"/>
  <c r="L68" i="1"/>
  <c r="K68" i="1"/>
  <c r="N67" i="1"/>
  <c r="L67" i="1"/>
  <c r="K67" i="1"/>
  <c r="N66" i="1"/>
  <c r="L66" i="1"/>
  <c r="K66" i="1"/>
  <c r="N65" i="1"/>
  <c r="L65" i="1"/>
  <c r="K65" i="1"/>
  <c r="N64" i="1"/>
  <c r="L64" i="1"/>
  <c r="K64" i="1"/>
  <c r="N63" i="1"/>
  <c r="L63" i="1"/>
  <c r="K63" i="1"/>
  <c r="N62" i="1"/>
  <c r="L62" i="1"/>
  <c r="K62" i="1"/>
  <c r="N61" i="1"/>
  <c r="L61" i="1"/>
  <c r="K61" i="1"/>
  <c r="N60" i="1"/>
  <c r="L60" i="1"/>
  <c r="K60" i="1"/>
  <c r="N59" i="1"/>
  <c r="L59" i="1"/>
  <c r="K59" i="1"/>
  <c r="N58" i="1"/>
  <c r="L58" i="1"/>
  <c r="K58" i="1"/>
  <c r="N57" i="1"/>
  <c r="L57" i="1"/>
  <c r="K57" i="1"/>
  <c r="N56" i="1"/>
  <c r="L56" i="1"/>
  <c r="K56" i="1"/>
  <c r="N55" i="1"/>
  <c r="L55" i="1"/>
  <c r="K55" i="1"/>
  <c r="N54" i="1"/>
  <c r="L54" i="1"/>
  <c r="K54" i="1"/>
  <c r="N53" i="1"/>
  <c r="L53" i="1"/>
  <c r="K53" i="1"/>
  <c r="N52" i="1"/>
  <c r="L52" i="1"/>
  <c r="K52" i="1"/>
  <c r="N51" i="1"/>
  <c r="L51" i="1"/>
  <c r="K51" i="1"/>
  <c r="N50" i="1"/>
  <c r="L50" i="1"/>
  <c r="K50" i="1"/>
  <c r="N49" i="1"/>
  <c r="L49" i="1"/>
  <c r="K49" i="1"/>
  <c r="N48" i="1"/>
  <c r="L48" i="1"/>
  <c r="K48" i="1"/>
  <c r="N47" i="1"/>
  <c r="L47" i="1"/>
  <c r="K47" i="1"/>
  <c r="N46" i="1"/>
  <c r="L46" i="1"/>
  <c r="K46" i="1"/>
  <c r="N45" i="1"/>
  <c r="L45" i="1"/>
  <c r="K45" i="1"/>
  <c r="N44" i="1"/>
  <c r="L44" i="1"/>
  <c r="K44" i="1"/>
  <c r="N43" i="1"/>
  <c r="L43" i="1"/>
  <c r="K43" i="1"/>
  <c r="N42" i="1"/>
  <c r="L42" i="1"/>
  <c r="K42" i="1"/>
  <c r="N41" i="1"/>
  <c r="L41" i="1"/>
  <c r="K41" i="1"/>
  <c r="N40" i="1"/>
  <c r="L40" i="1"/>
  <c r="K40" i="1"/>
  <c r="N39" i="1"/>
  <c r="L39" i="1"/>
  <c r="K39" i="1"/>
  <c r="N38" i="1"/>
  <c r="L38" i="1"/>
  <c r="K38" i="1"/>
  <c r="N37" i="1"/>
  <c r="L37" i="1"/>
  <c r="K37" i="1"/>
  <c r="N36" i="1"/>
  <c r="L36" i="1"/>
  <c r="K36" i="1"/>
  <c r="N35" i="1"/>
  <c r="L35" i="1"/>
  <c r="K35" i="1"/>
  <c r="N34" i="1"/>
  <c r="L34" i="1"/>
  <c r="K34" i="1"/>
  <c r="N33" i="1"/>
  <c r="L33" i="1"/>
  <c r="K33" i="1"/>
  <c r="N32" i="1"/>
  <c r="L32" i="1"/>
  <c r="K32" i="1"/>
  <c r="N31" i="1"/>
  <c r="L31" i="1"/>
  <c r="K31" i="1"/>
  <c r="N30" i="1"/>
  <c r="L30" i="1"/>
  <c r="K30" i="1"/>
  <c r="N29" i="1"/>
  <c r="L29" i="1"/>
  <c r="K29" i="1"/>
  <c r="N28" i="1"/>
  <c r="L28" i="1"/>
  <c r="K28" i="1"/>
  <c r="N27" i="1"/>
  <c r="L27" i="1"/>
  <c r="K27" i="1"/>
  <c r="N26" i="1"/>
  <c r="L26" i="1"/>
  <c r="K26" i="1"/>
  <c r="N25" i="1"/>
  <c r="L25" i="1"/>
  <c r="K25" i="1"/>
  <c r="N24" i="1"/>
  <c r="L24" i="1"/>
  <c r="K24" i="1"/>
  <c r="N23" i="1"/>
  <c r="L23" i="1"/>
  <c r="K23" i="1"/>
  <c r="N22" i="1"/>
  <c r="L22" i="1"/>
  <c r="K22" i="1"/>
  <c r="N21" i="1"/>
  <c r="L21" i="1"/>
  <c r="K21" i="1"/>
  <c r="N20" i="1"/>
  <c r="L20" i="1"/>
  <c r="K20" i="1"/>
  <c r="N19" i="1"/>
  <c r="L19" i="1"/>
  <c r="K19" i="1"/>
  <c r="N18" i="1"/>
  <c r="L18" i="1"/>
  <c r="K18" i="1"/>
  <c r="N17" i="1"/>
  <c r="L17" i="1"/>
  <c r="K17" i="1"/>
  <c r="N16" i="1"/>
  <c r="L16" i="1"/>
  <c r="K16" i="1"/>
  <c r="N15" i="1"/>
  <c r="L15" i="1"/>
  <c r="K15" i="1"/>
  <c r="N14" i="1"/>
  <c r="L14" i="1"/>
  <c r="K14" i="1"/>
  <c r="N13" i="1"/>
  <c r="L13" i="1"/>
  <c r="K13" i="1"/>
  <c r="N12" i="1"/>
  <c r="L12" i="1"/>
  <c r="K12" i="1"/>
  <c r="N11" i="1"/>
  <c r="L11" i="1"/>
  <c r="K11" i="1"/>
  <c r="N10" i="1"/>
  <c r="L10" i="1"/>
  <c r="K10" i="1"/>
  <c r="L4" i="1"/>
  <c r="M661" i="1" l="1"/>
  <c r="M670" i="1" s="1"/>
  <c r="K670" i="1"/>
  <c r="K672" i="1" s="1"/>
  <c r="Q650" i="1"/>
  <c r="L636" i="1"/>
  <c r="K655" i="1"/>
  <c r="H670" i="1"/>
  <c r="I670" i="1"/>
  <c r="I672" i="1" s="1"/>
  <c r="J611" i="1"/>
  <c r="J619" i="1" s="1"/>
  <c r="L627" i="1"/>
  <c r="O644" i="1"/>
  <c r="P644" i="1"/>
  <c r="P653" i="1" s="1"/>
  <c r="I676" i="1"/>
  <c r="I684" i="1" s="1"/>
  <c r="O653" i="1" l="1"/>
  <c r="O655" i="1" s="1"/>
  <c r="Q644" i="1"/>
  <c r="Q65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Yamir Adrian Gomez</author>
    <author>YAMIR GOMEZ</author>
    <author>YAMIR</author>
    <author>Laura Bastidas</author>
    <author>ygomez</author>
  </authors>
  <commentList>
    <comment ref="R9" authorId="0" shapeId="0" xr:uid="{C3F99FBE-EF32-481A-90B9-4B0254F95BBD}">
      <text>
        <r>
          <rPr>
            <b/>
            <sz val="8"/>
            <color indexed="81"/>
            <rFont val="Tahoma"/>
            <family val="2"/>
          </rPr>
          <t>Yamir Adrian Gomez:</t>
        </r>
        <r>
          <rPr>
            <sz val="8"/>
            <color indexed="81"/>
            <rFont val="Tahoma"/>
            <family val="2"/>
          </rPr>
          <t xml:space="preserve">
PARA ARL. Tecnico o administrativo</t>
        </r>
      </text>
    </comment>
    <comment ref="D11" authorId="0" shapeId="0" xr:uid="{00A7D6F7-66E1-4DB4-ADAD-302ED1BD42E5}">
      <text>
        <r>
          <rPr>
            <b/>
            <sz val="9"/>
            <color indexed="81"/>
            <rFont val="Tahoma"/>
            <family val="2"/>
          </rPr>
          <t>Yamir Adrian Gomez:</t>
        </r>
        <r>
          <rPr>
            <sz val="9"/>
            <color indexed="81"/>
            <rFont val="Tahoma"/>
            <family val="2"/>
          </rPr>
          <t xml:space="preserve">
ASCENSO A SECRETARIA EJECUTIVA A PARTIR DEL 01/10/2025.</t>
        </r>
      </text>
    </comment>
    <comment ref="C12" authorId="0" shapeId="0" xr:uid="{1C77B8D5-CAED-45F2-92CB-3029781CE56B}">
      <text>
        <r>
          <rPr>
            <b/>
            <sz val="9"/>
            <color indexed="81"/>
            <rFont val="Tahoma"/>
            <family val="2"/>
          </rPr>
          <t>Yamir Adrian Gomez:</t>
        </r>
        <r>
          <rPr>
            <sz val="9"/>
            <color indexed="81"/>
            <rFont val="Tahoma"/>
            <family val="2"/>
          </rPr>
          <t xml:space="preserve">
CARGO DE YOLANDA RODRIGUEZ QUIEN RENUNCIO A PARTIR DEL 01/08/26. </t>
        </r>
      </text>
    </comment>
    <comment ref="S12" authorId="0" shapeId="0" xr:uid="{180ED24A-2E5C-4133-B6BB-891B605DF99D}">
      <text>
        <r>
          <rPr>
            <b/>
            <sz val="8"/>
            <color indexed="81"/>
            <rFont val="Tahoma"/>
            <family val="2"/>
          </rPr>
          <t>Yamir Adrian Gomez:</t>
        </r>
        <r>
          <rPr>
            <sz val="8"/>
            <color indexed="81"/>
            <rFont val="Tahoma"/>
            <family val="2"/>
          </rPr>
          <t xml:space="preserve">
TECNICO EN SECRETARIADO EJECUTIVO Y 6 SEMESTRES ADMINISTRACION INFORMATICA</t>
        </r>
      </text>
    </comment>
    <comment ref="C13" authorId="0" shapeId="0" xr:uid="{7B58885D-4020-4F62-ACFA-F6677610429E}">
      <text>
        <r>
          <rPr>
            <b/>
            <sz val="9"/>
            <color indexed="81"/>
            <rFont val="Tahoma"/>
            <family val="2"/>
          </rPr>
          <t>Yamir Adrian Gomez:</t>
        </r>
        <r>
          <rPr>
            <sz val="9"/>
            <color indexed="81"/>
            <rFont val="Tahoma"/>
            <family val="2"/>
          </rPr>
          <t xml:space="preserve">
Encargo a partir de 01/08/26. Cargo de oscarpantoja quien renuncio a partir del 17/02/25.</t>
        </r>
      </text>
    </comment>
    <comment ref="S13" authorId="0" shapeId="0" xr:uid="{7859BDCD-D1C6-426B-91E0-9D5D70356372}">
      <text>
        <r>
          <rPr>
            <b/>
            <sz val="8"/>
            <color indexed="81"/>
            <rFont val="Tahoma"/>
            <family val="2"/>
          </rPr>
          <t>Yamir Adrian Gomez:</t>
        </r>
        <r>
          <rPr>
            <sz val="8"/>
            <color indexed="81"/>
            <rFont val="Tahoma"/>
            <family val="2"/>
          </rPr>
          <t xml:space="preserve">
ABOGADO. ESPECIALISTA EN DERECHO LABORAL</t>
        </r>
      </text>
    </comment>
    <comment ref="S14" authorId="0" shapeId="0" xr:uid="{1FFFD2B5-94C4-4AB1-A6AC-BBED0FFE4BDC}">
      <text>
        <r>
          <rPr>
            <b/>
            <sz val="8"/>
            <color indexed="81"/>
            <rFont val="Tahoma"/>
            <family val="2"/>
          </rPr>
          <t>Yamir Adrian Gomez:</t>
        </r>
        <r>
          <rPr>
            <sz val="8"/>
            <color indexed="81"/>
            <rFont val="Tahoma"/>
            <family val="2"/>
          </rPr>
          <t xml:space="preserve">
CONTADURIA PUBLICA. AUXILIAR DE SISTEMAS </t>
        </r>
      </text>
    </comment>
    <comment ref="C16" authorId="0" shapeId="0" xr:uid="{53B7A84B-518D-4EEA-8B07-F4D258E9F665}">
      <text>
        <r>
          <rPr>
            <b/>
            <sz val="9"/>
            <color indexed="81"/>
            <rFont val="Tahoma"/>
            <family val="2"/>
          </rPr>
          <t>Yamir Adrian Gomez:</t>
        </r>
        <r>
          <rPr>
            <sz val="9"/>
            <color indexed="81"/>
            <rFont val="Tahoma"/>
            <family val="2"/>
          </rPr>
          <t xml:space="preserve">
ENCARGO DE TECNICO A PARTIR DE 16/02/24. CARGO DE OSVALDO CHAPID. ASCENSO A PARTIR DEL 01/01/26</t>
        </r>
      </text>
    </comment>
    <comment ref="D16" authorId="0" shapeId="0" xr:uid="{5E58F2DB-42F6-4DA4-8E67-D0C0B3F5CDC9}">
      <text>
        <r>
          <rPr>
            <b/>
            <sz val="9"/>
            <color indexed="81"/>
            <rFont val="Tahoma"/>
            <family val="2"/>
          </rPr>
          <t>Yamir Adrian Gomez:</t>
        </r>
        <r>
          <rPr>
            <sz val="9"/>
            <color indexed="81"/>
            <rFont val="Tahoma"/>
            <family val="2"/>
          </rPr>
          <t xml:space="preserve">
COM FUN CONTROL INTERNO DESDE 01/10/25. CARGO DE DIV ADMI</t>
        </r>
      </text>
    </comment>
    <comment ref="C17" authorId="0" shapeId="0" xr:uid="{E28D1629-21BE-48D1-922A-08ED4438C31E}">
      <text>
        <r>
          <rPr>
            <b/>
            <sz val="9"/>
            <color indexed="81"/>
            <rFont val="Tahoma"/>
            <family val="2"/>
          </rPr>
          <t>Yamir Adrian Gomez:</t>
        </r>
        <r>
          <rPr>
            <sz val="9"/>
            <color indexed="81"/>
            <rFont val="Tahoma"/>
            <family val="2"/>
          </rPr>
          <t xml:space="preserve">
Cargo de mabel quien paso a CT como encargo.</t>
        </r>
      </text>
    </comment>
    <comment ref="C18" authorId="0" shapeId="0" xr:uid="{ED12F6D7-B72F-4FBB-B606-578F7C91CC94}">
      <text>
        <r>
          <rPr>
            <b/>
            <sz val="9"/>
            <color indexed="81"/>
            <rFont val="Tahoma"/>
            <family val="2"/>
          </rPr>
          <t>Yamir Adrian Gomez:</t>
        </r>
        <r>
          <rPr>
            <sz val="9"/>
            <color indexed="81"/>
            <rFont val="Tahoma"/>
            <family val="2"/>
          </rPr>
          <t xml:space="preserve">
Cargo de Ricardo piarpuzan quien paso a erncargo de Aux I (mabel)</t>
        </r>
      </text>
    </comment>
    <comment ref="S20" authorId="0" shapeId="0" xr:uid="{D68F8A1F-C830-4B6C-AEF2-6CE44966DDFA}">
      <text>
        <r>
          <rPr>
            <b/>
            <sz val="8"/>
            <color indexed="81"/>
            <rFont val="Tahoma"/>
            <family val="2"/>
          </rPr>
          <t>Yamir Adrian Gomez:</t>
        </r>
        <r>
          <rPr>
            <sz val="8"/>
            <color indexed="81"/>
            <rFont val="Tahoma"/>
            <family val="2"/>
          </rPr>
          <t xml:space="preserve">
BACHILLER COMERCIAL. TECNICO COMERCIO EXTERIOR Y SECRETARIADO EJECUTIVO</t>
        </r>
      </text>
    </comment>
    <comment ref="S21" authorId="1" shapeId="0" xr:uid="{1B0731C3-4F57-4862-84A6-78C3A5A28AEF}">
      <text>
        <r>
          <rPr>
            <b/>
            <sz val="9"/>
            <color indexed="81"/>
            <rFont val="Tahoma"/>
            <family val="2"/>
          </rPr>
          <t>YAMIR GOMEZ:</t>
        </r>
        <r>
          <rPr>
            <sz val="9"/>
            <color indexed="81"/>
            <rFont val="Tahoma"/>
            <family val="2"/>
          </rPr>
          <t xml:space="preserve">
ing de sistemas</t>
        </r>
      </text>
    </comment>
    <comment ref="C22" authorId="0" shapeId="0" xr:uid="{7F0BDBE8-435B-4216-B459-795943D56F7D}">
      <text>
        <r>
          <rPr>
            <b/>
            <sz val="9"/>
            <color indexed="81"/>
            <rFont val="Tahoma"/>
            <family val="2"/>
          </rPr>
          <t>Yamir Adrian Gomez:</t>
        </r>
        <r>
          <rPr>
            <sz val="9"/>
            <color indexed="81"/>
            <rFont val="Tahoma"/>
            <family val="2"/>
          </rPr>
          <t xml:space="preserve">
Cargo de Juan Carlos rivera</t>
        </r>
      </text>
    </comment>
    <comment ref="C23" authorId="1" shapeId="0" xr:uid="{8F7B4A14-398C-4716-9949-F05482DE720C}">
      <text>
        <r>
          <rPr>
            <b/>
            <sz val="9"/>
            <color indexed="81"/>
            <rFont val="Tahoma"/>
            <family val="2"/>
          </rPr>
          <t>YAMIR GOMEZ:</t>
        </r>
        <r>
          <rPr>
            <sz val="9"/>
            <color indexed="81"/>
            <rFont val="Tahoma"/>
            <family val="2"/>
          </rPr>
          <t xml:space="preserve">
Encargo de Hector chapid quien tiene permiso sindical.</t>
        </r>
      </text>
    </comment>
    <comment ref="S24" authorId="0" shapeId="0" xr:uid="{C74AA8B5-B721-451D-9F5C-845C7C374D2B}">
      <text>
        <r>
          <rPr>
            <b/>
            <sz val="8"/>
            <color indexed="81"/>
            <rFont val="Tahoma"/>
            <family val="2"/>
          </rPr>
          <t>Yamir Adrian Gomez:</t>
        </r>
        <r>
          <rPr>
            <sz val="8"/>
            <color indexed="81"/>
            <rFont val="Tahoma"/>
            <family val="2"/>
          </rPr>
          <t xml:space="preserve">
INGENIERO DE SISTEMAS CON ENF EN TELECOMUNICACIONES, REPARACION DE DAÑOS DE BAJA TENSION, DETECCION DE FRAUDES, INFORMATICA BASICA.</t>
        </r>
      </text>
    </comment>
    <comment ref="C25" authorId="1" shapeId="0" xr:uid="{42A99C64-0B96-4DDF-B2A0-06D09869B1D0}">
      <text>
        <r>
          <rPr>
            <b/>
            <sz val="9"/>
            <color indexed="81"/>
            <rFont val="Tahoma"/>
            <family val="2"/>
          </rPr>
          <t>YAMIR GOMEZ:</t>
        </r>
        <r>
          <rPr>
            <sz val="9"/>
            <color indexed="81"/>
            <rFont val="Tahoma"/>
            <family val="2"/>
          </rPr>
          <t xml:space="preserve">
CARGO DE ALEJANDRO GMEZ</t>
        </r>
      </text>
    </comment>
    <comment ref="S26" authorId="0" shapeId="0" xr:uid="{E964872E-55DC-40B5-A28F-BB4CE8090B87}">
      <text>
        <r>
          <rPr>
            <b/>
            <sz val="8"/>
            <color indexed="81"/>
            <rFont val="Tahoma"/>
            <family val="2"/>
          </rPr>
          <t>Yamir Adrian Gomez:</t>
        </r>
        <r>
          <rPr>
            <sz val="8"/>
            <color indexed="81"/>
            <rFont val="Tahoma"/>
            <family val="2"/>
          </rPr>
          <t xml:space="preserve">
TECNICO EN SISTEMAS</t>
        </r>
      </text>
    </comment>
    <comment ref="C27" authorId="0" shapeId="0" xr:uid="{AD5FF700-C2E9-4A9B-96A5-03B11D76B50F}">
      <text>
        <r>
          <rPr>
            <b/>
            <sz val="9"/>
            <color indexed="81"/>
            <rFont val="Tahoma"/>
            <family val="2"/>
          </rPr>
          <t>Yamir Adrian Gomez:</t>
        </r>
        <r>
          <rPr>
            <sz val="9"/>
            <color indexed="81"/>
            <rFont val="Tahoma"/>
            <family val="2"/>
          </rPr>
          <t xml:space="preserve">
ENC DESDE 01/08/26.CARGO DE MARLENY PORTILLA QUIEN RENUNCIO A PARTIR DEL 01/08/26</t>
        </r>
      </text>
    </comment>
    <comment ref="S27" authorId="0" shapeId="0" xr:uid="{3D278020-1AAD-4964-936C-44A50551BCF4}">
      <text>
        <r>
          <rPr>
            <b/>
            <sz val="8"/>
            <color indexed="81"/>
            <rFont val="Tahoma"/>
            <family val="2"/>
          </rPr>
          <t>Yamir Adrian Gomez:</t>
        </r>
        <r>
          <rPr>
            <sz val="8"/>
            <color indexed="81"/>
            <rFont val="Tahoma"/>
            <family val="2"/>
          </rPr>
          <t xml:space="preserve">
SECRETARIA EJECUTIVA. TECNOLOGA EN ADMINISTRACION FINANCIERA. PROFESIONAL EN ADMINISTRACION DE EMPRESAS, INFORMATICA BASICA.</t>
        </r>
      </text>
    </comment>
    <comment ref="S28" authorId="0" shapeId="0" xr:uid="{E691A5B1-C7CC-47C1-B476-B512A88A0CD2}">
      <text>
        <r>
          <rPr>
            <b/>
            <sz val="8"/>
            <color indexed="81"/>
            <rFont val="Tahoma"/>
            <family val="2"/>
          </rPr>
          <t>Yamir Adrian Gomez:</t>
        </r>
        <r>
          <rPr>
            <sz val="8"/>
            <color indexed="81"/>
            <rFont val="Tahoma"/>
            <family val="2"/>
          </rPr>
          <t xml:space="preserve">
Abogado</t>
        </r>
      </text>
    </comment>
    <comment ref="D29" authorId="0" shapeId="0" xr:uid="{C49F3D4E-BDED-4F71-B08A-BC7C899DFC0A}">
      <text>
        <r>
          <rPr>
            <b/>
            <sz val="9"/>
            <color indexed="81"/>
            <rFont val="Tahoma"/>
            <family val="2"/>
          </rPr>
          <t>Yamir Adrian Gomez:</t>
        </r>
        <r>
          <rPr>
            <sz val="9"/>
            <color indexed="81"/>
            <rFont val="Tahoma"/>
            <family val="2"/>
          </rPr>
          <t xml:space="preserve">
ESTE CARGO ES DE SARA LASSO DE CARTERA. TRASLADO DESDE 04/11/25.</t>
        </r>
      </text>
    </comment>
    <comment ref="C31" authorId="0" shapeId="0" xr:uid="{505B9B85-5D59-47BB-A7ED-15C68BD1D625}">
      <text>
        <r>
          <rPr>
            <b/>
            <sz val="9"/>
            <color indexed="81"/>
            <rFont val="Tahoma"/>
            <family val="2"/>
          </rPr>
          <t>Yamir Adrian Gomez:</t>
        </r>
        <r>
          <rPr>
            <sz val="9"/>
            <color indexed="81"/>
            <rFont val="Tahoma"/>
            <family val="2"/>
          </rPr>
          <t xml:space="preserve">
Encargo a partir del 09/04/25. Cargo de pedro acosta</t>
        </r>
      </text>
    </comment>
    <comment ref="S31" authorId="0" shapeId="0" xr:uid="{39E07E80-8349-41DD-964A-F9939C6AD2DE}">
      <text>
        <r>
          <rPr>
            <b/>
            <sz val="8"/>
            <color indexed="81"/>
            <rFont val="Tahoma"/>
            <family val="2"/>
          </rPr>
          <t>Yamir Adrian Gomez:</t>
        </r>
        <r>
          <rPr>
            <sz val="8"/>
            <color indexed="81"/>
            <rFont val="Tahoma"/>
            <family val="2"/>
          </rPr>
          <t xml:space="preserve">
ECONOMISTA. ESPECIALISTA EN GERENCIA DE MERCADEO Y EN SERVICIOS PUBLICOS DOMICILIARIOS. DIPLOMADO EN ANALISIS DE DATOS Y GESTION DE RELACIONAMIENTO DE CLIENTES. DIPLOMADO BASES PARA EL COMPORTAMIENTO EMPRESARIAL RESPONSABLE Y SOSTENIBLE.</t>
        </r>
      </text>
    </comment>
    <comment ref="S33" authorId="0" shapeId="0" xr:uid="{48ED9F63-96F5-43A6-B378-F4376708227C}">
      <text>
        <r>
          <rPr>
            <b/>
            <sz val="8"/>
            <color indexed="81"/>
            <rFont val="Tahoma"/>
            <family val="2"/>
          </rPr>
          <t>Yamir Adrian Gomez:</t>
        </r>
        <r>
          <rPr>
            <sz val="8"/>
            <color indexed="81"/>
            <rFont val="Tahoma"/>
            <family val="2"/>
          </rPr>
          <t xml:space="preserve">
INGENIERO DE SISTEMAS. ESPECIALISTA EN REDES Y SISTEMAS TELEMATICOS.</t>
        </r>
      </text>
    </comment>
    <comment ref="C34" authorId="0" shapeId="0" xr:uid="{1B68EC64-54DC-494A-860B-B244200C3BD2}">
      <text>
        <r>
          <rPr>
            <b/>
            <sz val="9"/>
            <color indexed="81"/>
            <rFont val="Tahoma"/>
            <family val="2"/>
          </rPr>
          <t>Yamir Adrian Gomez:</t>
        </r>
        <r>
          <rPr>
            <sz val="9"/>
            <color indexed="81"/>
            <rFont val="Tahoma"/>
            <family val="2"/>
          </rPr>
          <t xml:space="preserve">
Encargo a partir del 09/04/25. Cargo de Monica Gomez</t>
        </r>
      </text>
    </comment>
    <comment ref="S34" authorId="0" shapeId="0" xr:uid="{A0484792-EBAB-4B61-998D-B92EB4CC99E7}">
      <text>
        <r>
          <rPr>
            <b/>
            <sz val="8"/>
            <color indexed="81"/>
            <rFont val="Tahoma"/>
            <family val="2"/>
          </rPr>
          <t>Yamir Adrian Gomez:</t>
        </r>
        <r>
          <rPr>
            <sz val="8"/>
            <color indexed="81"/>
            <rFont val="Tahoma"/>
            <family val="2"/>
          </rPr>
          <t xml:space="preserve">
LICENCIADO EN COMERCIO Y CONTADURIA. CONTADOR PUBLICO. ESPECIALISTA EN CIENCIAS FISCALES Y TRIBUTARIAS, ESPECIALISTA EN FINANZAS</t>
        </r>
      </text>
    </comment>
    <comment ref="S35" authorId="0" shapeId="0" xr:uid="{441D8319-2775-4250-A3EA-36E4A7CC3410}">
      <text>
        <r>
          <rPr>
            <b/>
            <sz val="8"/>
            <color indexed="81"/>
            <rFont val="Tahoma"/>
            <family val="2"/>
          </rPr>
          <t>Yamir Adrian Gomez:</t>
        </r>
        <r>
          <rPr>
            <sz val="8"/>
            <color indexed="81"/>
            <rFont val="Tahoma"/>
            <family val="2"/>
          </rPr>
          <t xml:space="preserve">
CONTABILIDAD Y FINANZAS, ESPECIALISTA EN GERENCIA TRIBUTARIA, DIPLOMADO DE  NORMAS INTERNACIONALES DE INFORMACION FINANCIERA PARA EMPRESAS DE SERVICIOS PUBLICOS, CURSO DE EXCEL AVANZADO, TECNICO PROFECIONAL EN CONTABILIDAD Y FINANZAS</t>
        </r>
      </text>
    </comment>
    <comment ref="D36" authorId="0" shapeId="0" xr:uid="{AA2E5CB4-3FBF-47AA-A055-9B8FF8FCA8F9}">
      <text>
        <r>
          <rPr>
            <b/>
            <sz val="9"/>
            <color indexed="81"/>
            <rFont val="Tahoma"/>
            <family val="2"/>
          </rPr>
          <t>Yamir Adrian Gomez:</t>
        </r>
        <r>
          <rPr>
            <sz val="9"/>
            <color indexed="81"/>
            <rFont val="Tahoma"/>
            <family val="2"/>
          </rPr>
          <t xml:space="preserve">
TRASLADO A COSTOS DESDE EL 01/08/2024.</t>
        </r>
      </text>
    </comment>
    <comment ref="S36" authorId="0" shapeId="0" xr:uid="{99A0F975-3D07-42E2-BE15-316F15BFCA41}">
      <text>
        <r>
          <rPr>
            <b/>
            <sz val="8"/>
            <color indexed="81"/>
            <rFont val="Tahoma"/>
            <family val="2"/>
          </rPr>
          <t>Yamir Adrian Gomez:</t>
        </r>
        <r>
          <rPr>
            <sz val="8"/>
            <color indexed="81"/>
            <rFont val="Tahoma"/>
            <family val="2"/>
          </rPr>
          <t xml:space="preserve">
CONTADUR PUBLICO, DIPLOMADO EN CONTABILIDAD PUBLICA.</t>
        </r>
      </text>
    </comment>
    <comment ref="C37" authorId="0" shapeId="0" xr:uid="{9B32C6D6-27A6-452E-8AFE-C4A108C0B2CF}">
      <text>
        <r>
          <rPr>
            <b/>
            <sz val="9"/>
            <color indexed="81"/>
            <rFont val="Tahoma"/>
            <family val="2"/>
          </rPr>
          <t>Yamir Adrian Gomez:</t>
        </r>
        <r>
          <rPr>
            <sz val="9"/>
            <color indexed="81"/>
            <rFont val="Tahoma"/>
            <family val="2"/>
          </rPr>
          <t xml:space="preserve">
CARGO DE LUIS HERNANDO RODRIGUEZ QUIEN RENUNCIO A SU CARGO A PARTIR DEL 01/07/26.</t>
        </r>
      </text>
    </comment>
    <comment ref="S37" authorId="0" shapeId="0" xr:uid="{0D5B063B-B9A6-4059-A958-83E608BC703B}">
      <text>
        <r>
          <rPr>
            <b/>
            <sz val="8"/>
            <color indexed="81"/>
            <rFont val="Tahoma"/>
            <family val="2"/>
          </rPr>
          <t>Yamir Adrian Gomez:</t>
        </r>
        <r>
          <rPr>
            <sz val="8"/>
            <color indexed="81"/>
            <rFont val="Tahoma"/>
            <family val="2"/>
          </rPr>
          <t xml:space="preserve">
CONTADOR PUBLICO. TECNICO PROFESIONAL EN ADMON. DE EMPRESAS.  DIP. EN ALTA DIRECCION Y GERENCIA Y DIP. EN SISTEMA DE GESTION DE CALIDAD,INFORMATICA BASICA.</t>
        </r>
      </text>
    </comment>
    <comment ref="D38" authorId="0" shapeId="0" xr:uid="{43B23B6B-130D-4889-9C65-9F3F56CCC1D3}">
      <text>
        <r>
          <rPr>
            <b/>
            <sz val="9"/>
            <color indexed="81"/>
            <rFont val="Tahoma"/>
            <family val="2"/>
          </rPr>
          <t>Yamir Adrian Gomez:</t>
        </r>
        <r>
          <rPr>
            <sz val="9"/>
            <color indexed="81"/>
            <rFont val="Tahoma"/>
            <family val="2"/>
          </rPr>
          <t xml:space="preserve">
TRASLADO A RECAUDOS A PRTIR DEL 01/08/2024</t>
        </r>
      </text>
    </comment>
    <comment ref="S38" authorId="0" shapeId="0" xr:uid="{375D4B50-C02C-4438-8D0B-48BE13F7ABB4}">
      <text>
        <r>
          <rPr>
            <b/>
            <sz val="8"/>
            <color indexed="81"/>
            <rFont val="Tahoma"/>
            <family val="2"/>
          </rPr>
          <t>Yamir Adrian Gomez:</t>
        </r>
        <r>
          <rPr>
            <sz val="8"/>
            <color indexed="81"/>
            <rFont val="Tahoma"/>
            <family val="2"/>
          </rPr>
          <t xml:space="preserve">
CONTADOR PUBLICO</t>
        </r>
      </text>
    </comment>
    <comment ref="C39" authorId="0" shapeId="0" xr:uid="{AC557179-1822-410A-B415-93E6676BFDEE}">
      <text>
        <r>
          <rPr>
            <b/>
            <sz val="9"/>
            <color indexed="81"/>
            <rFont val="Tahoma"/>
            <family val="2"/>
          </rPr>
          <t>Yamir Adrian Gomez:</t>
        </r>
        <r>
          <rPr>
            <sz val="9"/>
            <color indexed="81"/>
            <rFont val="Tahoma"/>
            <family val="2"/>
          </rPr>
          <t xml:space="preserve">
Encargo a partir del 09/04/25. cargo de hortencia</t>
        </r>
      </text>
    </comment>
    <comment ref="S39" authorId="0" shapeId="0" xr:uid="{DBF43098-1F5F-4923-81ED-5EE3AE4650CB}">
      <text>
        <r>
          <rPr>
            <b/>
            <sz val="8"/>
            <color indexed="81"/>
            <rFont val="Tahoma"/>
            <family val="2"/>
          </rPr>
          <t>Yamir Adrian Gomez:</t>
        </r>
        <r>
          <rPr>
            <sz val="8"/>
            <color indexed="81"/>
            <rFont val="Tahoma"/>
            <family val="2"/>
          </rPr>
          <t xml:space="preserve">
TECNICO ELECTRICISTA. ADMINISTRADOR FINANCIERO PROFESIONAL Y CONTADOR PUBLICO</t>
        </r>
      </text>
    </comment>
    <comment ref="C41" authorId="0" shapeId="0" xr:uid="{D4A69E60-1C98-4EA7-AF11-485DBE2916D5}">
      <text>
        <r>
          <rPr>
            <b/>
            <sz val="9"/>
            <color indexed="81"/>
            <rFont val="Tahoma"/>
            <family val="2"/>
          </rPr>
          <t>Yamir Adrian Gomez:</t>
        </r>
        <r>
          <rPr>
            <sz val="9"/>
            <color indexed="81"/>
            <rFont val="Tahoma"/>
            <family val="2"/>
          </rPr>
          <t xml:space="preserve">
ESTE CARGO VENIA DE ALEXANDER VALDEZ</t>
        </r>
      </text>
    </comment>
    <comment ref="C42" authorId="0" shapeId="0" xr:uid="{9FC6FA4B-40CF-4F12-B6ED-8A8F889A5AB6}">
      <text>
        <r>
          <rPr>
            <b/>
            <sz val="9"/>
            <color indexed="81"/>
            <rFont val="Tahoma"/>
            <family val="2"/>
          </rPr>
          <t>Yamir Adrian Gomez:</t>
        </r>
        <r>
          <rPr>
            <sz val="9"/>
            <color indexed="81"/>
            <rFont val="Tahoma"/>
            <family val="2"/>
          </rPr>
          <t xml:space="preserve">
Encargo a aprtir del 24/07/26. Cargo de sandra montengro</t>
        </r>
      </text>
    </comment>
    <comment ref="S42" authorId="0" shapeId="0" xr:uid="{CC83F7F6-0303-4C21-8E91-AFAF0C8C3AF8}">
      <text>
        <r>
          <rPr>
            <b/>
            <sz val="8"/>
            <color indexed="81"/>
            <rFont val="Tahoma"/>
            <family val="2"/>
          </rPr>
          <t>Yamir Adrian Gomez:</t>
        </r>
        <r>
          <rPr>
            <sz val="8"/>
            <color indexed="81"/>
            <rFont val="Tahoma"/>
            <family val="2"/>
          </rPr>
          <t xml:space="preserve">
TECNICO EN SISTEMAS, CURSO ANALISIS DE SISTEMAS- OPERACIÓN Y PROGRAMACION DE COMPUTADORES</t>
        </r>
      </text>
    </comment>
    <comment ref="C43" authorId="0" shapeId="0" xr:uid="{A91EF241-CD72-49B1-A9C6-28CC128862C6}">
      <text>
        <r>
          <rPr>
            <b/>
            <sz val="9"/>
            <color indexed="81"/>
            <rFont val="Tahoma"/>
            <family val="2"/>
          </rPr>
          <t>Yamir Adrian Gomez:</t>
        </r>
        <r>
          <rPr>
            <sz val="9"/>
            <color indexed="81"/>
            <rFont val="Tahoma"/>
            <family val="2"/>
          </rPr>
          <t xml:space="preserve">
CARGO DE PAOLA ODOÑEZ. SE HACE CONTRATO INDEFINIDO A APARTIR DELÑ 01/07/2025.</t>
        </r>
      </text>
    </comment>
    <comment ref="C44" authorId="0" shapeId="0" xr:uid="{D425EEA4-6A54-44A6-AF24-956A2CEEAC69}">
      <text>
        <r>
          <rPr>
            <b/>
            <sz val="9"/>
            <color indexed="81"/>
            <rFont val="Tahoma"/>
            <family val="2"/>
          </rPr>
          <t>Yamir Adrian Gomez:</t>
        </r>
        <r>
          <rPr>
            <sz val="9"/>
            <color indexed="81"/>
            <rFont val="Tahoma"/>
            <family val="2"/>
          </rPr>
          <t xml:space="preserve">
CARGO DE JOHANA CAICEDO</t>
        </r>
      </text>
    </comment>
    <comment ref="C45" authorId="0" shapeId="0" xr:uid="{F65D2F36-F506-4F21-B21C-F503D05DC071}">
      <text>
        <r>
          <rPr>
            <b/>
            <sz val="9"/>
            <color indexed="81"/>
            <rFont val="Tahoma"/>
            <family val="2"/>
          </rPr>
          <t>Yamir Adrian Gomez:</t>
        </r>
        <r>
          <rPr>
            <sz val="9"/>
            <color indexed="81"/>
            <rFont val="Tahoma"/>
            <family val="2"/>
          </rPr>
          <t xml:space="preserve">
Encargo de aux II desde el 23/09/24. este cargo era de jesus ibarra.</t>
        </r>
      </text>
    </comment>
    <comment ref="C46" authorId="0" shapeId="0" xr:uid="{7E2E0E26-1161-437A-8BE7-AACD4481F803}">
      <text>
        <r>
          <rPr>
            <b/>
            <sz val="9"/>
            <color indexed="81"/>
            <rFont val="Tahoma"/>
            <family val="2"/>
          </rPr>
          <t>Yamir Adrian Gomez:</t>
        </r>
        <r>
          <rPr>
            <sz val="9"/>
            <color indexed="81"/>
            <rFont val="Tahoma"/>
            <family val="2"/>
          </rPr>
          <t xml:space="preserve">
CARGO DE ALEJANDRA MONTENENGRO QUIEN RENUNCIO A PARTRI DEL 21/08/26.</t>
        </r>
      </text>
    </comment>
    <comment ref="S46" authorId="0" shapeId="0" xr:uid="{CC6BED92-6EF7-4CCD-A6DB-432A8B5FEFEC}">
      <text>
        <r>
          <rPr>
            <b/>
            <sz val="8"/>
            <color indexed="81"/>
            <rFont val="Tahoma"/>
            <family val="2"/>
          </rPr>
          <t>Yamir Adrian Gomez:</t>
        </r>
        <r>
          <rPr>
            <sz val="8"/>
            <color indexed="81"/>
            <rFont val="Tahoma"/>
            <family val="2"/>
          </rPr>
          <t xml:space="preserve">
TECNICO EN SISTEMAS, CURSO ANALISIS DE SISTEMAS- OPERACIÓN Y PROGRAMACION DE COMPUTADORES</t>
        </r>
      </text>
    </comment>
    <comment ref="C47" authorId="0" shapeId="0" xr:uid="{EEED33B1-61BA-4AAF-843B-F7C764EFB046}">
      <text>
        <r>
          <rPr>
            <b/>
            <sz val="9"/>
            <color indexed="81"/>
            <rFont val="Tahoma"/>
            <family val="2"/>
          </rPr>
          <t>Yamir Adrian Gomez:</t>
        </r>
        <r>
          <rPr>
            <sz val="9"/>
            <color indexed="81"/>
            <rFont val="Tahoma"/>
            <family val="2"/>
          </rPr>
          <t xml:space="preserve">
ENC DESDE 21/07/26. CARGO JUAN CARLOS PALACIOS QUIEN PASO A CT</t>
        </r>
      </text>
    </comment>
    <comment ref="S47" authorId="0" shapeId="0" xr:uid="{57B449AA-30AE-4307-96EE-2490B0A923AD}">
      <text>
        <r>
          <rPr>
            <b/>
            <sz val="8"/>
            <color indexed="81"/>
            <rFont val="Tahoma"/>
            <family val="2"/>
          </rPr>
          <t>Yamir Adrian Gomez:</t>
        </r>
        <r>
          <rPr>
            <sz val="8"/>
            <color indexed="81"/>
            <rFont val="Tahoma"/>
            <family val="2"/>
          </rPr>
          <t xml:space="preserve">
TECNICO MTO. DE EQUIPOD DE COMPUTO. TECNICO EN MANTENIMIENTO DE SOTFWARE Y HARWARE. INGLES BASICO I II Y III</t>
        </r>
      </text>
    </comment>
    <comment ref="C48" authorId="0" shapeId="0" xr:uid="{E9FB4B61-413C-440C-8A14-D7A49EA9D706}">
      <text>
        <r>
          <rPr>
            <b/>
            <sz val="9"/>
            <color indexed="81"/>
            <rFont val="Tahoma"/>
            <family val="2"/>
          </rPr>
          <t>Yamir Adrian Gomez:</t>
        </r>
        <r>
          <rPr>
            <sz val="9"/>
            <color indexed="81"/>
            <rFont val="Tahoma"/>
            <family val="2"/>
          </rPr>
          <t xml:space="preserve">
CARGO DE ANYELA VILLOTA QUIEN RENUNCIO A SU CARGO A PARTIR DEL 01/07/26.</t>
        </r>
      </text>
    </comment>
    <comment ref="F48" authorId="0" shapeId="0" xr:uid="{45DDA991-6894-469E-9642-3238A4FEC595}">
      <text>
        <r>
          <rPr>
            <b/>
            <sz val="9"/>
            <color indexed="81"/>
            <rFont val="Tahoma"/>
            <family val="2"/>
          </rPr>
          <t>Yamir Adrian Gomez:</t>
        </r>
        <r>
          <rPr>
            <sz val="9"/>
            <color indexed="81"/>
            <rFont val="Tahoma"/>
            <family val="2"/>
          </rPr>
          <t xml:space="preserve">
ENCARGO DESDE 03/07/2026</t>
        </r>
      </text>
    </comment>
    <comment ref="C49" authorId="0" shapeId="0" xr:uid="{7F5FC345-1962-43EF-AF76-EC53EE7E76C2}">
      <text>
        <r>
          <rPr>
            <b/>
            <sz val="9"/>
            <color indexed="81"/>
            <rFont val="Tahoma"/>
            <family val="2"/>
          </rPr>
          <t>Yamir Adrian Gomez:</t>
        </r>
        <r>
          <rPr>
            <sz val="9"/>
            <color indexed="81"/>
            <rFont val="Tahoma"/>
            <family val="2"/>
          </rPr>
          <t xml:space="preserve">
CARGO DE JANET ORTEGA(RETIRADA)</t>
        </r>
      </text>
    </comment>
    <comment ref="C52" authorId="0" shapeId="0" xr:uid="{67481C55-2179-4AEF-8AFB-3F7DC062112D}">
      <text>
        <r>
          <rPr>
            <b/>
            <sz val="9"/>
            <color indexed="81"/>
            <rFont val="Tahoma"/>
            <family val="2"/>
          </rPr>
          <t>Yamir Adrian Gomez:</t>
        </r>
        <r>
          <rPr>
            <sz val="9"/>
            <color indexed="81"/>
            <rFont val="Tahoma"/>
            <family val="2"/>
          </rPr>
          <t xml:space="preserve">
CARGO DE RODRIGO VITERI.</t>
        </r>
      </text>
    </comment>
    <comment ref="C53" authorId="0" shapeId="0" xr:uid="{A9A55F89-CB7E-400A-B19C-1AE153C57F0F}">
      <text>
        <r>
          <rPr>
            <b/>
            <sz val="9"/>
            <color indexed="81"/>
            <rFont val="Tahoma"/>
            <family val="2"/>
          </rPr>
          <t>Yamir Adrian Gomez:</t>
        </r>
        <r>
          <rPr>
            <sz val="9"/>
            <color indexed="81"/>
            <rFont val="Tahoma"/>
            <family val="2"/>
          </rPr>
          <t xml:space="preserve">
CARGO DE MANUEL COAJI QUIEN PASO A AUX II COMO ENCAR</t>
        </r>
      </text>
    </comment>
    <comment ref="S53" authorId="0" shapeId="0" xr:uid="{1EACDDC0-E7F8-40BE-8E57-7395409004A5}">
      <text>
        <r>
          <rPr>
            <b/>
            <sz val="9"/>
            <color indexed="81"/>
            <rFont val="Tahoma"/>
            <family val="2"/>
          </rPr>
          <t>Yamir Adrian Gomez:</t>
        </r>
        <r>
          <rPr>
            <sz val="9"/>
            <color indexed="81"/>
            <rFont val="Tahoma"/>
            <family val="2"/>
          </rPr>
          <t xml:space="preserve">
Contador Publico</t>
        </r>
      </text>
    </comment>
    <comment ref="C54" authorId="0" shapeId="0" xr:uid="{D6058A60-1EA8-4EFB-8F04-581AF8D01C9C}">
      <text>
        <r>
          <rPr>
            <b/>
            <sz val="9"/>
            <color indexed="81"/>
            <rFont val="Tahoma"/>
            <family val="2"/>
          </rPr>
          <t>Yamir Adrian Gomez:</t>
        </r>
        <r>
          <rPr>
            <sz val="9"/>
            <color indexed="81"/>
            <rFont val="Tahoma"/>
            <family val="2"/>
          </rPr>
          <t xml:space="preserve">
CARGO DE JOSE AUGUSTO DELGADO QUIEN PASO A AUX II</t>
        </r>
      </text>
    </comment>
    <comment ref="S54" authorId="0" shapeId="0" xr:uid="{932C437C-2EF1-4FAA-8C00-B5737F28F7B1}">
      <text>
        <r>
          <rPr>
            <b/>
            <sz val="8"/>
            <color indexed="81"/>
            <rFont val="Tahoma"/>
            <family val="2"/>
          </rPr>
          <t>Yamir Adrian Gomez:</t>
        </r>
        <r>
          <rPr>
            <sz val="8"/>
            <color indexed="81"/>
            <rFont val="Tahoma"/>
            <family val="2"/>
          </rPr>
          <t xml:space="preserve">
CURSO DE INFORMATICA BASICA</t>
        </r>
      </text>
    </comment>
    <comment ref="C55" authorId="0" shapeId="0" xr:uid="{6A5ACD09-30B9-4F7F-91F4-84CC6916FE78}">
      <text>
        <r>
          <rPr>
            <b/>
            <sz val="9"/>
            <color indexed="81"/>
            <rFont val="Tahoma"/>
            <family val="2"/>
          </rPr>
          <t>Yamir Adrian Gomez:</t>
        </r>
        <r>
          <rPr>
            <sz val="9"/>
            <color indexed="81"/>
            <rFont val="Tahoma"/>
            <family val="2"/>
          </rPr>
          <t xml:space="preserve">
Ecargo de Tec I desde 01/10/25. cargo de Mirtha Santander (cartera). Com func recaudos desde 01/10/25.</t>
        </r>
      </text>
    </comment>
    <comment ref="S55" authorId="0" shapeId="0" xr:uid="{86C217AD-44C9-475C-8CCF-DB809E303334}">
      <text>
        <r>
          <rPr>
            <b/>
            <sz val="8"/>
            <color indexed="81"/>
            <rFont val="Tahoma"/>
            <family val="2"/>
          </rPr>
          <t>Yamir Adrian Gomez:</t>
        </r>
        <r>
          <rPr>
            <sz val="8"/>
            <color indexed="81"/>
            <rFont val="Tahoma"/>
            <family val="2"/>
          </rPr>
          <t xml:space="preserve">
BACHILLER ACADEMICO</t>
        </r>
      </text>
    </comment>
    <comment ref="C56" authorId="0" shapeId="0" xr:uid="{2FC8EABB-EDBF-4E52-A55A-65428C96EEC2}">
      <text>
        <r>
          <rPr>
            <b/>
            <sz val="9"/>
            <color indexed="81"/>
            <rFont val="Tahoma"/>
            <family val="2"/>
          </rPr>
          <t>Yamir Adrian Gomez:</t>
        </r>
        <r>
          <rPr>
            <sz val="9"/>
            <color indexed="81"/>
            <rFont val="Tahoma"/>
            <family val="2"/>
          </rPr>
          <t xml:space="preserve">
Encargo a partri del 09/04/25. cargo maricela lara</t>
        </r>
      </text>
    </comment>
    <comment ref="S57" authorId="0" shapeId="0" xr:uid="{54CF7265-3891-415D-8829-676BE7FD3D9B}">
      <text>
        <r>
          <rPr>
            <b/>
            <sz val="8"/>
            <color indexed="81"/>
            <rFont val="Tahoma"/>
            <family val="2"/>
          </rPr>
          <t>Yamir Adrian Gomez:</t>
        </r>
        <r>
          <rPr>
            <sz val="8"/>
            <color indexed="81"/>
            <rFont val="Tahoma"/>
            <family val="2"/>
          </rPr>
          <t xml:space="preserve">
BACHILLER ACADEMICO. SECRETARIA GENERAL</t>
        </r>
      </text>
    </comment>
    <comment ref="C58" authorId="0" shapeId="0" xr:uid="{51D4C179-72D9-4509-B7F3-6D808C4BBF48}">
      <text>
        <r>
          <rPr>
            <b/>
            <sz val="9"/>
            <color indexed="81"/>
            <rFont val="Tahoma"/>
            <family val="2"/>
          </rPr>
          <t>Yamir Adrian Gomez:</t>
        </r>
        <r>
          <rPr>
            <sz val="9"/>
            <color indexed="81"/>
            <rFont val="Tahoma"/>
            <family val="2"/>
          </rPr>
          <t xml:space="preserve">
Encargo de Tec II a partir del 01/01/26. CARGO DE FREDY HIDALGO</t>
        </r>
      </text>
    </comment>
    <comment ref="S59" authorId="0" shapeId="0" xr:uid="{E3BB2586-1372-4169-A6F0-922D7F3DADF1}">
      <text>
        <r>
          <rPr>
            <b/>
            <sz val="8"/>
            <color indexed="81"/>
            <rFont val="Tahoma"/>
            <family val="2"/>
          </rPr>
          <t>Yamir Adrian Gomez:</t>
        </r>
        <r>
          <rPr>
            <sz val="8"/>
            <color indexed="81"/>
            <rFont val="Tahoma"/>
            <family val="2"/>
          </rPr>
          <t xml:space="preserve">
CONTADOR PÚBLICO</t>
        </r>
      </text>
    </comment>
    <comment ref="C60" authorId="0" shapeId="0" xr:uid="{B7DAE3DB-94C4-4769-9885-7794685F63A2}">
      <text>
        <r>
          <rPr>
            <b/>
            <sz val="9"/>
            <color indexed="81"/>
            <rFont val="Tahoma"/>
            <family val="2"/>
          </rPr>
          <t>Yamir Adrian Gomez:</t>
        </r>
        <r>
          <rPr>
            <sz val="9"/>
            <color indexed="81"/>
            <rFont val="Tahoma"/>
            <family val="2"/>
          </rPr>
          <t xml:space="preserve">
ENC DESDE 01/07/26.CARGO DE LUIS ORLANDO LEON BENAVIDES QUIEN RENUNCIO A SU CARGO A PARTIR DEL 01/07/26.(JURIDICA)</t>
        </r>
      </text>
    </comment>
    <comment ref="S60" authorId="0" shapeId="0" xr:uid="{0820965B-7FAD-4E81-AB24-269BFD3D69C7}">
      <text>
        <r>
          <rPr>
            <b/>
            <sz val="8"/>
            <color indexed="81"/>
            <rFont val="Tahoma"/>
            <family val="2"/>
          </rPr>
          <t>Yamir Adrian Gomez:</t>
        </r>
        <r>
          <rPr>
            <sz val="8"/>
            <color indexed="81"/>
            <rFont val="Tahoma"/>
            <family val="2"/>
          </rPr>
          <t xml:space="preserve">
Bachiller Academico
</t>
        </r>
      </text>
    </comment>
    <comment ref="C61" authorId="0" shapeId="0" xr:uid="{E7209C92-A7DD-4E48-8028-05471BD170A7}">
      <text>
        <r>
          <rPr>
            <b/>
            <sz val="9"/>
            <color indexed="81"/>
            <rFont val="Tahoma"/>
            <family val="2"/>
          </rPr>
          <t>Yamir Adrian Gomez:</t>
        </r>
        <r>
          <rPr>
            <sz val="9"/>
            <color indexed="81"/>
            <rFont val="Tahoma"/>
            <family val="2"/>
          </rPr>
          <t xml:space="preserve">
CARGO DE LUCY BASTIDAS</t>
        </r>
      </text>
    </comment>
    <comment ref="S61" authorId="0" shapeId="0" xr:uid="{DF4E7625-ECB5-49B5-8419-6EBBD9A1C563}">
      <text>
        <r>
          <rPr>
            <b/>
            <sz val="8"/>
            <color indexed="81"/>
            <rFont val="Tahoma"/>
            <family val="2"/>
          </rPr>
          <t>Yamir Adrian Gomez:</t>
        </r>
        <r>
          <rPr>
            <sz val="8"/>
            <color indexed="81"/>
            <rFont val="Tahoma"/>
            <family val="2"/>
          </rPr>
          <t xml:space="preserve">
CONTADOR PUBLICO, TECNOLOGO EN CONTABILIDAD Y FINANZAS</t>
        </r>
      </text>
    </comment>
    <comment ref="C62" authorId="0" shapeId="0" xr:uid="{38650218-4F91-491D-A7E0-B1A2943FEC63}">
      <text>
        <r>
          <rPr>
            <b/>
            <sz val="9"/>
            <color indexed="81"/>
            <rFont val="Tahoma"/>
            <family val="2"/>
          </rPr>
          <t>Yamir Adrian Gomez:</t>
        </r>
        <r>
          <rPr>
            <sz val="9"/>
            <color indexed="81"/>
            <rFont val="Tahoma"/>
            <family val="2"/>
          </rPr>
          <t xml:space="preserve">
Encargo a partir del 15/04/25. Cargo de Rosa tovar</t>
        </r>
      </text>
    </comment>
    <comment ref="H62" authorId="0" shapeId="0" xr:uid="{941650F5-E1DE-424C-BE15-385655235806}">
      <text>
        <r>
          <rPr>
            <b/>
            <sz val="9"/>
            <color indexed="81"/>
            <rFont val="Tahoma"/>
            <family val="2"/>
          </rPr>
          <t>Yamir Adrian Gomez:</t>
        </r>
        <r>
          <rPr>
            <sz val="9"/>
            <color indexed="81"/>
            <rFont val="Tahoma"/>
            <family val="2"/>
          </rPr>
          <t xml:space="preserve">
08/01/26</t>
        </r>
      </text>
    </comment>
    <comment ref="S62" authorId="0" shapeId="0" xr:uid="{91105E14-DC76-4303-B5E4-2B5011A32245}">
      <text>
        <r>
          <rPr>
            <b/>
            <sz val="8"/>
            <color indexed="81"/>
            <rFont val="Tahoma"/>
            <family val="2"/>
          </rPr>
          <t>Yamir Adrian Gomez:</t>
        </r>
        <r>
          <rPr>
            <sz val="8"/>
            <color indexed="81"/>
            <rFont val="Tahoma"/>
            <family val="2"/>
          </rPr>
          <t xml:space="preserve">
CONTADOR PUBLICO, TECNOLOGO EN CONTABILIDAD Y FINANZAS</t>
        </r>
      </text>
    </comment>
    <comment ref="C63" authorId="0" shapeId="0" xr:uid="{CCB9EFD9-D344-403F-B866-1D900ABDC901}">
      <text>
        <r>
          <rPr>
            <b/>
            <sz val="9"/>
            <color indexed="81"/>
            <rFont val="Tahoma"/>
            <family val="2"/>
          </rPr>
          <t>Yamir Adrian Gomez:</t>
        </r>
        <r>
          <rPr>
            <sz val="9"/>
            <color indexed="81"/>
            <rFont val="Tahoma"/>
            <family val="2"/>
          </rPr>
          <t xml:space="preserve">
Cargo de ivan dario molina quien paso a operario a partir del 16/10/25.</t>
        </r>
      </text>
    </comment>
    <comment ref="S64" authorId="0" shapeId="0" xr:uid="{674754E6-41ED-4672-8ED9-C1734A84AB5E}">
      <text>
        <r>
          <rPr>
            <b/>
            <sz val="8"/>
            <color indexed="81"/>
            <rFont val="Tahoma"/>
            <family val="2"/>
          </rPr>
          <t>Yamir Adrian Gomez:</t>
        </r>
        <r>
          <rPr>
            <sz val="8"/>
            <color indexed="81"/>
            <rFont val="Tahoma"/>
            <family val="2"/>
          </rPr>
          <t xml:space="preserve">
ING. INDUSTRIAL. ESPECIALISTA EN GERENCIA DE LA SALUD OCUPACIONAL</t>
        </r>
      </text>
    </comment>
    <comment ref="C65" authorId="0" shapeId="0" xr:uid="{A0D766B8-4123-4B66-B844-E939066C42A3}">
      <text>
        <r>
          <rPr>
            <b/>
            <sz val="9"/>
            <color indexed="81"/>
            <rFont val="Tahoma"/>
            <family val="2"/>
          </rPr>
          <t>Yamir Adrian Gomez:</t>
        </r>
        <r>
          <rPr>
            <sz val="9"/>
            <color indexed="81"/>
            <rFont val="Tahoma"/>
            <family val="2"/>
          </rPr>
          <t xml:space="preserve">
Cargo de sandra arteaga de Div perdidas. COM FUNC OF PERSONAL. ENCARGO DESDE 25/05/26 COMO PRO ESPEC</t>
        </r>
      </text>
    </comment>
    <comment ref="C66" authorId="0" shapeId="0" xr:uid="{F843FBFF-16B3-436B-AE4D-639204A59403}">
      <text>
        <r>
          <rPr>
            <b/>
            <sz val="9"/>
            <color indexed="81"/>
            <rFont val="Tahoma"/>
            <family val="2"/>
          </rPr>
          <t>Yamir Adrian Gomez:</t>
        </r>
        <r>
          <rPr>
            <sz val="9"/>
            <color indexed="81"/>
            <rFont val="Tahoma"/>
            <family val="2"/>
          </rPr>
          <t xml:space="preserve">
CARGO DE ALVARO JURADO</t>
        </r>
      </text>
    </comment>
    <comment ref="S66" authorId="0" shapeId="0" xr:uid="{ED91FB8B-5061-449A-9605-58C27BFB0BF6}">
      <text>
        <r>
          <rPr>
            <b/>
            <sz val="8"/>
            <color indexed="81"/>
            <rFont val="Tahoma"/>
            <family val="2"/>
          </rPr>
          <t>Yamir Adrian Gomez:</t>
        </r>
        <r>
          <rPr>
            <sz val="8"/>
            <color indexed="81"/>
            <rFont val="Tahoma"/>
            <family val="2"/>
          </rPr>
          <t xml:space="preserve">
INGENIERO INDUSTRIAL. ESPECIALISTA EN ALTA GERENCIA. DIPLOMADO EN SEGUROS GENERALES, BRIGADISTA DE ERGENCIAS.</t>
        </r>
      </text>
    </comment>
    <comment ref="C67" authorId="0" shapeId="0" xr:uid="{12E5ABFB-65CC-41FE-BB39-0702FCCD09EF}">
      <text>
        <r>
          <rPr>
            <b/>
            <sz val="9"/>
            <color indexed="81"/>
            <rFont val="Tahoma"/>
            <family val="2"/>
          </rPr>
          <t>Yamir Adrian Gomez:</t>
        </r>
        <r>
          <rPr>
            <sz val="9"/>
            <color indexed="81"/>
            <rFont val="Tahoma"/>
            <family val="2"/>
          </rPr>
          <t xml:space="preserve">
traslado desde 28/08/24 A LA DIV ADMINISTRATIVA(ALMACEN)</t>
        </r>
      </text>
    </comment>
    <comment ref="S67" authorId="0" shapeId="0" xr:uid="{1F659876-BDF8-41C5-995B-2F1209186B75}">
      <text>
        <r>
          <rPr>
            <b/>
            <sz val="8"/>
            <color indexed="81"/>
            <rFont val="Tahoma"/>
            <family val="2"/>
          </rPr>
          <t>Yamir Adrian Gomez:</t>
        </r>
        <r>
          <rPr>
            <sz val="8"/>
            <color indexed="81"/>
            <rFont val="Tahoma"/>
            <family val="2"/>
          </rPr>
          <t xml:space="preserve">
LICENCIADO EN COMERCIO Y CONTADURIA. DIPLOMADO EN COMUNICACIÓN, NEGOCIOS Y SERVICIOS EN INTERNET,INFORMATICA BASICA.</t>
        </r>
      </text>
    </comment>
    <comment ref="C69" authorId="0" shapeId="0" xr:uid="{A3DF2611-C502-4CB4-B7B9-B2EF1555B71A}">
      <text>
        <r>
          <rPr>
            <b/>
            <sz val="9"/>
            <color indexed="81"/>
            <rFont val="Tahoma"/>
            <family val="2"/>
          </rPr>
          <t>Yamir Adrian Gomez:</t>
        </r>
        <r>
          <rPr>
            <sz val="9"/>
            <color indexed="81"/>
            <rFont val="Tahoma"/>
            <family val="2"/>
          </rPr>
          <t xml:space="preserve">
CARGO DE JANET JARAMILLO </t>
        </r>
      </text>
    </comment>
    <comment ref="C70" authorId="0" shapeId="0" xr:uid="{3B75F64A-6D93-4C3B-B559-D4DA79486F1B}">
      <text>
        <r>
          <rPr>
            <b/>
            <sz val="9"/>
            <color indexed="81"/>
            <rFont val="Tahoma"/>
            <family val="2"/>
          </rPr>
          <t>Yamir Adrian Gomez:</t>
        </r>
        <r>
          <rPr>
            <sz val="9"/>
            <color indexed="81"/>
            <rFont val="Tahoma"/>
            <family val="2"/>
          </rPr>
          <t xml:space="preserve">
ENCARGO DESDE 25/05/26. CARGO DE SANDRA ARTEAGA</t>
        </r>
      </text>
    </comment>
    <comment ref="S70" authorId="0" shapeId="0" xr:uid="{9D43BC3A-00BC-44E1-B841-4D0802D84554}">
      <text>
        <r>
          <rPr>
            <b/>
            <sz val="8"/>
            <color indexed="81"/>
            <rFont val="Tahoma"/>
            <family val="2"/>
          </rPr>
          <t>Yamir Adrian Gomez:</t>
        </r>
        <r>
          <rPr>
            <sz val="8"/>
            <color indexed="81"/>
            <rFont val="Tahoma"/>
            <family val="2"/>
          </rPr>
          <t xml:space="preserve">
BACHILLER ACADEMICO, INGENIERIA DE  SISTEMAS, CUSOS BASICOS.</t>
        </r>
      </text>
    </comment>
    <comment ref="C71" authorId="0" shapeId="0" xr:uid="{94E8243A-0543-493E-8934-ECF75FE3A01E}">
      <text>
        <r>
          <rPr>
            <b/>
            <sz val="9"/>
            <color indexed="81"/>
            <rFont val="Tahoma"/>
            <family val="2"/>
          </rPr>
          <t>Yamir Adrian Gomez:</t>
        </r>
        <r>
          <rPr>
            <sz val="9"/>
            <color indexed="81"/>
            <rFont val="Tahoma"/>
            <family val="2"/>
          </rPr>
          <t xml:space="preserve">
Encar de PII DESDE 01/10/25. CARGO DE LAURA BASTIDAS. COM FUNC SALUD OCUP DESDE 01/10/25.</t>
        </r>
      </text>
    </comment>
    <comment ref="C72" authorId="0" shapeId="0" xr:uid="{7D88A77C-813D-4F5A-A35A-FE39C5DCE3AA}">
      <text>
        <r>
          <rPr>
            <b/>
            <sz val="9"/>
            <color indexed="81"/>
            <rFont val="Tahoma"/>
            <family val="2"/>
          </rPr>
          <t>Yamir Adrian Gomez:</t>
        </r>
        <r>
          <rPr>
            <sz val="9"/>
            <color indexed="81"/>
            <rFont val="Tahoma"/>
            <family val="2"/>
          </rPr>
          <t xml:space="preserve">
ASCENSO A PARTIR DEL 01/01/26</t>
        </r>
      </text>
    </comment>
    <comment ref="S73" authorId="0" shapeId="0" xr:uid="{4D278A8A-74CA-4ED5-A994-68BCE669B3CA}">
      <text>
        <r>
          <rPr>
            <b/>
            <sz val="9"/>
            <color indexed="81"/>
            <rFont val="Tahoma"/>
            <family val="2"/>
          </rPr>
          <t>Yamir Adrian Gomez:</t>
        </r>
        <r>
          <rPr>
            <sz val="9"/>
            <color indexed="81"/>
            <rFont val="Tahoma"/>
            <family val="2"/>
          </rPr>
          <t xml:space="preserve">
PROFESIONAL EN QUIMICA, TECNICO EN CONTABILIDAD Y FINANZAS. ESPECIALISTA EN GERENCIA INTEGRAL EN SISTEMAS DE GESTION DE CALIDAD. AUDITOR INTERNO ICONTEC</t>
        </r>
      </text>
    </comment>
    <comment ref="C74" authorId="0" shapeId="0" xr:uid="{13486463-3238-4C20-AB20-94060DED2911}">
      <text>
        <r>
          <rPr>
            <b/>
            <sz val="9"/>
            <color indexed="81"/>
            <rFont val="Tahoma"/>
            <family val="2"/>
          </rPr>
          <t>Yamir Adrian Gomez:</t>
        </r>
        <r>
          <rPr>
            <sz val="9"/>
            <color indexed="81"/>
            <rFont val="Tahoma"/>
            <family val="2"/>
          </rPr>
          <t xml:space="preserve">
Cargo de sonia Acosta. Maribel unigarro</t>
        </r>
      </text>
    </comment>
    <comment ref="D74" authorId="0" shapeId="0" xr:uid="{53626FEE-7D8A-42E9-B796-5FEA890C7C04}">
      <text>
        <r>
          <rPr>
            <b/>
            <sz val="9"/>
            <color indexed="81"/>
            <rFont val="Tahoma"/>
            <family val="2"/>
          </rPr>
          <t>Yamir Adrian Gomez:</t>
        </r>
        <r>
          <rPr>
            <sz val="9"/>
            <color indexed="81"/>
            <rFont val="Tahoma"/>
            <family val="2"/>
          </rPr>
          <t xml:space="preserve">
TRASLADO DE PERDIDAS A SST DESDE EL 04/11/25.</t>
        </r>
      </text>
    </comment>
    <comment ref="S75" authorId="0" shapeId="0" xr:uid="{340A0830-D085-434D-ACA1-8E509B93452B}">
      <text>
        <r>
          <rPr>
            <b/>
            <sz val="8"/>
            <color indexed="81"/>
            <rFont val="Tahoma"/>
            <family val="2"/>
          </rPr>
          <t>Yamir Adrian Gomez:</t>
        </r>
        <r>
          <rPr>
            <sz val="8"/>
            <color indexed="81"/>
            <rFont val="Tahoma"/>
            <family val="2"/>
          </rPr>
          <t xml:space="preserve">
BACHILLER ACADEMICO, AUXILIAR EN SISTEMAS</t>
        </r>
      </text>
    </comment>
    <comment ref="C76" authorId="0" shapeId="0" xr:uid="{3CC5B6F5-6C8E-439E-A4E6-FA19A7921B3A}">
      <text>
        <r>
          <rPr>
            <b/>
            <sz val="9"/>
            <color indexed="81"/>
            <rFont val="Tahoma"/>
            <family val="2"/>
          </rPr>
          <t>Yamir Adrian Gomez:</t>
        </r>
        <r>
          <rPr>
            <sz val="9"/>
            <color indexed="81"/>
            <rFont val="Tahoma"/>
            <family val="2"/>
          </rPr>
          <t xml:space="preserve">
ENCARGO DE AUX I DESDE 25/05/26. CARGO DE ADRIAN GOMEZ</t>
        </r>
      </text>
    </comment>
    <comment ref="S76" authorId="0" shapeId="0" xr:uid="{D67CF682-990E-4EE2-A732-5BB0DEC17016}">
      <text>
        <r>
          <rPr>
            <b/>
            <sz val="8"/>
            <color indexed="81"/>
            <rFont val="Tahoma"/>
            <family val="2"/>
          </rPr>
          <t>Ingeniero de Sistemas-Espceialista  Gerencia de Proyectos</t>
        </r>
      </text>
    </comment>
    <comment ref="S77" authorId="0" shapeId="0" xr:uid="{050B5A2D-64F5-429B-8572-CF70D0FA6A5B}">
      <text>
        <r>
          <rPr>
            <b/>
            <sz val="8"/>
            <color indexed="81"/>
            <rFont val="Tahoma"/>
            <family val="2"/>
          </rPr>
          <t>Yamir Adrian Gomez:</t>
        </r>
        <r>
          <rPr>
            <sz val="8"/>
            <color indexed="81"/>
            <rFont val="Tahoma"/>
            <family val="2"/>
          </rPr>
          <t xml:space="preserve">
LICENCIADA EN CIENCIAS SOCIALES, INFORMATICA BASICA.</t>
        </r>
      </text>
    </comment>
    <comment ref="S79" authorId="0" shapeId="0" xr:uid="{F9B136E2-42C8-4E4F-84DF-DC25792B852D}">
      <text>
        <r>
          <rPr>
            <b/>
            <sz val="8"/>
            <color indexed="81"/>
            <rFont val="Tahoma"/>
            <family val="2"/>
          </rPr>
          <t>Yamir Adrian Gomez:</t>
        </r>
        <r>
          <rPr>
            <sz val="8"/>
            <color indexed="81"/>
            <rFont val="Tahoma"/>
            <family val="2"/>
          </rPr>
          <t xml:space="preserve">
CONTADURIA PUBLICA, DIPLOMADO EN CONTABILIDAD, Y AUDITORIA INTERNACIONAL</t>
        </r>
      </text>
    </comment>
    <comment ref="C80" authorId="0" shapeId="0" xr:uid="{1480726D-6B30-4384-8DC9-4FF08872D7CA}">
      <text>
        <r>
          <rPr>
            <b/>
            <sz val="9"/>
            <color indexed="81"/>
            <rFont val="Tahoma"/>
            <family val="2"/>
          </rPr>
          <t>Yamir Adrian Gomez:</t>
        </r>
        <r>
          <rPr>
            <sz val="9"/>
            <color indexed="81"/>
            <rFont val="Tahoma"/>
            <family val="2"/>
          </rPr>
          <t xml:space="preserve">
CARGO DE JOHANA JOJOA QUIEN PASO A SECRE II A OPERACIONES</t>
        </r>
      </text>
    </comment>
    <comment ref="S80" authorId="0" shapeId="0" xr:uid="{14C2E3BD-81FD-47C6-B5C8-99EABF81301A}">
      <text>
        <r>
          <rPr>
            <b/>
            <sz val="8"/>
            <color indexed="81"/>
            <rFont val="Tahoma"/>
            <family val="2"/>
          </rPr>
          <t>Yamir Adrian Gomez:</t>
        </r>
        <r>
          <rPr>
            <sz val="8"/>
            <color indexed="81"/>
            <rFont val="Tahoma"/>
            <family val="2"/>
          </rPr>
          <t xml:space="preserve">
CURSOS DE ACTUALIZACION TECNICA EN ADMINISTRACION, ADMINISTRACCION DE BIBLIOTECAS ESCOLARES, AUXILIAR DE SISTEMAS</t>
        </r>
      </text>
    </comment>
    <comment ref="C81" authorId="0" shapeId="0" xr:uid="{E31B1097-E5D9-491E-A41D-DEDB66D6CFD4}">
      <text>
        <r>
          <rPr>
            <b/>
            <sz val="9"/>
            <color indexed="81"/>
            <rFont val="Tahoma"/>
            <family val="2"/>
          </rPr>
          <t>Yamir Adrian Gomez:</t>
        </r>
        <r>
          <rPr>
            <sz val="9"/>
            <color indexed="81"/>
            <rFont val="Tahoma"/>
            <family val="2"/>
          </rPr>
          <t xml:space="preserve">
este cargo es el auxiliar que dejo fulton de tumaco. COMUNICACIONES</t>
        </r>
      </text>
    </comment>
    <comment ref="C83" authorId="0" shapeId="0" xr:uid="{9497D158-8D21-49F6-B2BB-6C836A5FE400}">
      <text>
        <r>
          <rPr>
            <b/>
            <sz val="9"/>
            <color indexed="81"/>
            <rFont val="Tahoma"/>
            <family val="2"/>
          </rPr>
          <t>Yamir Adrian Gomez:</t>
        </r>
        <r>
          <rPr>
            <sz val="9"/>
            <color indexed="81"/>
            <rFont val="Tahoma"/>
            <family val="2"/>
          </rPr>
          <t xml:space="preserve">
CARGO DE CLARISA LASSO</t>
        </r>
      </text>
    </comment>
    <comment ref="C84" authorId="0" shapeId="0" xr:uid="{F1302CA5-E5CA-42D4-AB36-DBC02290816A}">
      <text>
        <r>
          <rPr>
            <b/>
            <sz val="9"/>
            <color indexed="81"/>
            <rFont val="Tahoma"/>
            <family val="2"/>
          </rPr>
          <t>Yamir Adrian Gomez:</t>
        </r>
        <r>
          <rPr>
            <sz val="9"/>
            <color indexed="81"/>
            <rFont val="Tahoma"/>
            <family val="2"/>
          </rPr>
          <t xml:space="preserve">
TRASLADO DESDE PLANEACION AL CAD DESDE 01/07/2026. CARGO DE LIZANA CABRERA</t>
        </r>
      </text>
    </comment>
    <comment ref="C86" authorId="0" shapeId="0" xr:uid="{DEBBA92B-623E-463C-9F3E-B9424A1147FA}">
      <text>
        <r>
          <rPr>
            <b/>
            <sz val="9"/>
            <color indexed="81"/>
            <rFont val="Tahoma"/>
            <family val="2"/>
          </rPr>
          <t>Yamir Adrian Gomez:</t>
        </r>
        <r>
          <rPr>
            <sz val="9"/>
            <color indexed="81"/>
            <rFont val="Tahoma"/>
            <family val="2"/>
          </rPr>
          <t xml:space="preserve">
Cargo de Ricardo Davila DE SST quien paso a PII</t>
        </r>
      </text>
    </comment>
    <comment ref="S86" authorId="0" shapeId="0" xr:uid="{25200454-565D-4720-A029-3859135811E3}">
      <text>
        <r>
          <rPr>
            <b/>
            <sz val="8"/>
            <color indexed="81"/>
            <rFont val="Tahoma"/>
            <family val="2"/>
          </rPr>
          <t>Yamir Adrian Gomez:</t>
        </r>
        <r>
          <rPr>
            <sz val="8"/>
            <color indexed="81"/>
            <rFont val="Tahoma"/>
            <family val="2"/>
          </rPr>
          <t xml:space="preserve">
TECNICA EN CRIMINALISTICA E INVESTIGACION, BACHILLER ACADEMICO</t>
        </r>
      </text>
    </comment>
    <comment ref="S87" authorId="0" shapeId="0" xr:uid="{BCC40CE8-7441-4246-99BD-E71EB329E351}">
      <text>
        <r>
          <rPr>
            <b/>
            <sz val="8"/>
            <color indexed="81"/>
            <rFont val="Tahoma"/>
            <family val="2"/>
          </rPr>
          <t>Yamir Adrian Gomez:</t>
        </r>
        <r>
          <rPr>
            <sz val="8"/>
            <color indexed="81"/>
            <rFont val="Tahoma"/>
            <family val="2"/>
          </rPr>
          <t xml:space="preserve">
PROFESIONAL EN COMERCIO INTERNACIONAL</t>
        </r>
      </text>
    </comment>
    <comment ref="C88" authorId="0" shapeId="0" xr:uid="{20AB8A8A-078D-4827-89E8-7861B1D6C5A4}">
      <text>
        <r>
          <rPr>
            <b/>
            <sz val="9"/>
            <color indexed="81"/>
            <rFont val="Tahoma"/>
            <family val="2"/>
          </rPr>
          <t>Yamir Adrian Gomez:</t>
        </r>
        <r>
          <rPr>
            <sz val="9"/>
            <color indexed="81"/>
            <rFont val="Tahoma"/>
            <family val="2"/>
          </rPr>
          <t xml:space="preserve">
COM FUNC EN CAD DESDE 01/10/25. CARGO ES DE CONTROL INTERNO</t>
        </r>
      </text>
    </comment>
    <comment ref="S88" authorId="0" shapeId="0" xr:uid="{9219D7E7-F718-4626-8B17-042098863A18}">
      <text>
        <r>
          <rPr>
            <b/>
            <sz val="8"/>
            <color indexed="81"/>
            <rFont val="Tahoma"/>
            <family val="2"/>
          </rPr>
          <t>Yamir Adrian Gomez:</t>
        </r>
        <r>
          <rPr>
            <sz val="8"/>
            <color indexed="81"/>
            <rFont val="Tahoma"/>
            <family val="2"/>
          </rPr>
          <t xml:space="preserve">
TECNICO PROFESIONAL EN RELACIONES INDUSTRIALES, INGENIERIA DE SISTEMAS, DIPLOMADO EN FIBRA OPTICA, TECNOLOGO EN SISTEMAS.</t>
        </r>
      </text>
    </comment>
    <comment ref="S89" authorId="0" shapeId="0" xr:uid="{89BCD633-3B72-44E3-B638-11D164D85530}">
      <text>
        <r>
          <rPr>
            <b/>
            <sz val="8"/>
            <color indexed="81"/>
            <rFont val="Tahoma"/>
            <family val="2"/>
          </rPr>
          <t>Yamir Adrian Gomez:</t>
        </r>
        <r>
          <rPr>
            <sz val="8"/>
            <color indexed="81"/>
            <rFont val="Tahoma"/>
            <family val="2"/>
          </rPr>
          <t xml:space="preserve">
BACHILLER ACADEMICO</t>
        </r>
      </text>
    </comment>
    <comment ref="C91" authorId="0" shapeId="0" xr:uid="{1FA5974B-93E7-4824-8254-E1987D94BE2B}">
      <text>
        <r>
          <rPr>
            <b/>
            <sz val="9"/>
            <color indexed="81"/>
            <rFont val="Tahoma"/>
            <family val="2"/>
          </rPr>
          <t>Yamir Adrian Gomez:</t>
        </r>
        <r>
          <rPr>
            <sz val="9"/>
            <color indexed="81"/>
            <rFont val="Tahoma"/>
            <family val="2"/>
          </rPr>
          <t xml:space="preserve">
ENC DESDE 01/08/26. CARGO DE ELIZABET DELGADO</t>
        </r>
      </text>
    </comment>
    <comment ref="S91" authorId="0" shapeId="0" xr:uid="{ED2E93F1-117B-4C37-9F32-ED321923DB8B}">
      <text>
        <r>
          <rPr>
            <b/>
            <sz val="8"/>
            <color indexed="81"/>
            <rFont val="Tahoma"/>
            <family val="2"/>
          </rPr>
          <t>Yamir Adrian Gomez:</t>
        </r>
        <r>
          <rPr>
            <sz val="8"/>
            <color indexed="81"/>
            <rFont val="Tahoma"/>
            <family val="2"/>
          </rPr>
          <t xml:space="preserve">
TECNOLOGIA EN ADMINISTRACION FINANCIERA. BASICO EN SISTEMAS</t>
        </r>
      </text>
    </comment>
    <comment ref="C92" authorId="0" shapeId="0" xr:uid="{726426DD-7367-45F7-A2A2-B1CA887D5AB3}">
      <text>
        <r>
          <rPr>
            <b/>
            <sz val="9"/>
            <color indexed="81"/>
            <rFont val="Tahoma"/>
            <family val="2"/>
          </rPr>
          <t>Yamir Adrian Gomez:</t>
        </r>
        <r>
          <rPr>
            <sz val="9"/>
            <color indexed="81"/>
            <rFont val="Tahoma"/>
            <family val="2"/>
          </rPr>
          <t xml:space="preserve">
CARGO DE SANDRA LILIANA LOPEZ</t>
        </r>
      </text>
    </comment>
    <comment ref="C93" authorId="0" shapeId="0" xr:uid="{53D7548A-263B-4DBA-99E2-1E27B3CDBAE9}">
      <text>
        <r>
          <rPr>
            <b/>
            <sz val="9"/>
            <color indexed="81"/>
            <rFont val="Tahoma"/>
            <family val="2"/>
          </rPr>
          <t>Yamir Adrian Gomez:</t>
        </r>
        <r>
          <rPr>
            <sz val="9"/>
            <color indexed="81"/>
            <rFont val="Tahoma"/>
            <family val="2"/>
          </rPr>
          <t xml:space="preserve">
CARGO ANA CRISTINA RAMIREZ QUIEN RENUNCIO A PARTIR DEL 01/08/26</t>
        </r>
      </text>
    </comment>
    <comment ref="S94" authorId="0" shapeId="0" xr:uid="{FDD6840B-1F41-4FBC-A2B2-97A273A11885}">
      <text>
        <r>
          <rPr>
            <b/>
            <sz val="8"/>
            <color indexed="81"/>
            <rFont val="Tahoma"/>
            <family val="2"/>
          </rPr>
          <t>Yamir Adrian Gomez:</t>
        </r>
        <r>
          <rPr>
            <sz val="8"/>
            <color indexed="81"/>
            <rFont val="Tahoma"/>
            <family val="2"/>
          </rPr>
          <t xml:space="preserve">
Administradora Publica.</t>
        </r>
      </text>
    </comment>
    <comment ref="S95" authorId="0" shapeId="0" xr:uid="{5B5C8851-FD88-4280-A166-9CC71312904B}">
      <text>
        <r>
          <rPr>
            <b/>
            <sz val="8"/>
            <color indexed="81"/>
            <rFont val="Tahoma"/>
            <family val="2"/>
          </rPr>
          <t>Yamir Adrian Gomez:</t>
        </r>
        <r>
          <rPr>
            <sz val="8"/>
            <color indexed="81"/>
            <rFont val="Tahoma"/>
            <family val="2"/>
          </rPr>
          <t xml:space="preserve">
BACHILLER COMERCIAL MODALIDAD CONTABILIDAD</t>
        </r>
      </text>
    </comment>
    <comment ref="S97" authorId="0" shapeId="0" xr:uid="{B4BAC594-850D-4A4B-92E2-F18C1A655370}">
      <text>
        <r>
          <rPr>
            <b/>
            <sz val="8"/>
            <color indexed="81"/>
            <rFont val="Tahoma"/>
            <family val="2"/>
          </rPr>
          <t>Yamir Adrian Gomez:</t>
        </r>
        <r>
          <rPr>
            <sz val="8"/>
            <color indexed="81"/>
            <rFont val="Tahoma"/>
            <family val="2"/>
          </rPr>
          <t xml:space="preserve">
BACHILLER TECNICO COMERCIAL, 3 SEMESTRES DE CONTADURIA PUBLICA, AUXILIAR EN SISTEMAS DISEÑO GRAFICO E INTERNET</t>
        </r>
      </text>
    </comment>
    <comment ref="C99" authorId="0" shapeId="0" xr:uid="{3E6E1ABB-1DB2-4DC6-80C7-021C98FEC2CA}">
      <text>
        <r>
          <rPr>
            <b/>
            <sz val="9"/>
            <color indexed="81"/>
            <rFont val="Tahoma"/>
            <family val="2"/>
          </rPr>
          <t>Yamir Adrian Gomez:</t>
        </r>
        <r>
          <rPr>
            <sz val="9"/>
            <color indexed="81"/>
            <rFont val="Tahoma"/>
            <family val="2"/>
          </rPr>
          <t xml:space="preserve">
CARGO DE OSCAR BANDA QUIEN PASO A AUX I.</t>
        </r>
      </text>
    </comment>
    <comment ref="H99" authorId="0" shapeId="0" xr:uid="{2210A87A-DB5A-44D4-8C62-D8F3D6D760C7}">
      <text>
        <r>
          <rPr>
            <b/>
            <sz val="9"/>
            <color indexed="81"/>
            <rFont val="Tahoma"/>
            <family val="2"/>
          </rPr>
          <t>Yamir Adrian Gomez:</t>
        </r>
        <r>
          <rPr>
            <sz val="9"/>
            <color indexed="81"/>
            <rFont val="Tahoma"/>
            <family val="2"/>
          </rPr>
          <t xml:space="preserve">
08/01/26</t>
        </r>
      </text>
    </comment>
    <comment ref="C100" authorId="0" shapeId="0" xr:uid="{B72DDB60-A71E-4AC0-A8D8-EC7C2AB82822}">
      <text>
        <r>
          <rPr>
            <b/>
            <sz val="9"/>
            <color indexed="81"/>
            <rFont val="Tahoma"/>
            <family val="2"/>
          </rPr>
          <t>Yamir Adrian Gomez:</t>
        </r>
        <r>
          <rPr>
            <sz val="9"/>
            <color indexed="81"/>
            <rFont val="Tahoma"/>
            <family val="2"/>
          </rPr>
          <t xml:space="preserve">
CARGO DE ROBERTO ERASO QUIEN RENUNCIO A SU CARGO A PARTIR DEL 01/07/26.</t>
        </r>
      </text>
    </comment>
    <comment ref="S100" authorId="0" shapeId="0" xr:uid="{72C3B338-495C-445F-9097-70D023183CD6}">
      <text>
        <r>
          <rPr>
            <b/>
            <sz val="8"/>
            <color indexed="81"/>
            <rFont val="Tahoma"/>
            <family val="2"/>
          </rPr>
          <t>Yamir Adrian Gomez:</t>
        </r>
        <r>
          <rPr>
            <sz val="8"/>
            <color indexed="81"/>
            <rFont val="Tahoma"/>
            <family val="2"/>
          </rPr>
          <t xml:space="preserve">
BACHILLER ACADEMICO</t>
        </r>
      </text>
    </comment>
    <comment ref="S101" authorId="0" shapeId="0" xr:uid="{50B3BEF1-A371-4F92-98E7-45509AA9A15E}">
      <text>
        <r>
          <rPr>
            <b/>
            <sz val="8"/>
            <color indexed="81"/>
            <rFont val="Tahoma"/>
            <family val="2"/>
          </rPr>
          <t>Yamir Adrian Gomez:</t>
        </r>
        <r>
          <rPr>
            <sz val="8"/>
            <color indexed="81"/>
            <rFont val="Tahoma"/>
            <family val="2"/>
          </rPr>
          <t xml:space="preserve">
3 AÑOS DE SECUNDARIA</t>
        </r>
      </text>
    </comment>
    <comment ref="C102" authorId="1" shapeId="0" xr:uid="{1C7AC7AB-D841-4A99-AF48-16B3B3DDCDCC}">
      <text>
        <r>
          <rPr>
            <b/>
            <sz val="9"/>
            <color indexed="81"/>
            <rFont val="Tahoma"/>
            <family val="2"/>
          </rPr>
          <t>YAMIR GOMEZ:</t>
        </r>
        <r>
          <rPr>
            <sz val="9"/>
            <color indexed="81"/>
            <rFont val="Tahoma"/>
            <family val="2"/>
          </rPr>
          <t xml:space="preserve">
CAMBIO DE CARGO A LINIERO II SEGÚN CORREO RECOIBIDO EL 22/06/2021.</t>
        </r>
      </text>
    </comment>
    <comment ref="S102" authorId="0" shapeId="0" xr:uid="{8DC30C36-CC91-4067-8B84-C9630A080D54}">
      <text>
        <r>
          <rPr>
            <b/>
            <sz val="8"/>
            <color indexed="81"/>
            <rFont val="Tahoma"/>
            <family val="2"/>
          </rPr>
          <t>Yamir Adrian Gomez:</t>
        </r>
        <r>
          <rPr>
            <sz val="8"/>
            <color indexed="81"/>
            <rFont val="Tahoma"/>
            <family val="2"/>
          </rPr>
          <t xml:space="preserve">
FORMACION AVANZADO TRABAJO SEGURO EN ALTURAS, CURSO DE PODA Y TALA DE ARBOLES URBANOS</t>
        </r>
      </text>
    </comment>
    <comment ref="S103" authorId="0" shapeId="0" xr:uid="{D2FACE18-2A4C-4C16-8C89-001555E89EAF}">
      <text>
        <r>
          <rPr>
            <b/>
            <sz val="8"/>
            <color indexed="81"/>
            <rFont val="Tahoma"/>
            <family val="2"/>
          </rPr>
          <t>Yamir Adrian Gomez:</t>
        </r>
        <r>
          <rPr>
            <sz val="8"/>
            <color indexed="81"/>
            <rFont val="Tahoma"/>
            <family val="2"/>
          </rPr>
          <t xml:space="preserve">
CINCO SEMESTRES DE AGRONOMIA, INFORMATICA EDUCATIVA NIVEL I, CURSO DE TRABAJO SEGURO EN ALTURAS</t>
        </r>
      </text>
    </comment>
    <comment ref="S104" authorId="0" shapeId="0" xr:uid="{63ABD2D2-D2CA-42A2-85EF-AD83A3DEF1D7}">
      <text>
        <r>
          <rPr>
            <b/>
            <sz val="8"/>
            <color indexed="81"/>
            <rFont val="Tahoma"/>
            <family val="2"/>
          </rPr>
          <t>Yamir Adrian Gomez:</t>
        </r>
        <r>
          <rPr>
            <sz val="8"/>
            <color indexed="81"/>
            <rFont val="Tahoma"/>
            <family val="2"/>
          </rPr>
          <t xml:space="preserve">
BACHILLER ACADEMICO</t>
        </r>
      </text>
    </comment>
    <comment ref="C105" authorId="0" shapeId="0" xr:uid="{6AFEADAB-8E7E-4DBE-A74C-AAC1A2E25FE2}">
      <text>
        <r>
          <rPr>
            <b/>
            <sz val="9"/>
            <color indexed="81"/>
            <rFont val="Tahoma"/>
            <family val="2"/>
          </rPr>
          <t>Yamir Adrian Gomez:</t>
        </r>
        <r>
          <rPr>
            <sz val="9"/>
            <color indexed="81"/>
            <rFont val="Tahoma"/>
            <family val="2"/>
          </rPr>
          <t xml:space="preserve">
CARGO DE JAIME FOLLECO. COM FUNC CAD</t>
        </r>
      </text>
    </comment>
    <comment ref="H105" authorId="0" shapeId="0" xr:uid="{403B96C6-33E0-4922-B6E0-3EC0597893D6}">
      <text>
        <r>
          <rPr>
            <b/>
            <sz val="9"/>
            <color indexed="81"/>
            <rFont val="Tahoma"/>
            <family val="2"/>
          </rPr>
          <t>Yamir Adrian Gomez:</t>
        </r>
        <r>
          <rPr>
            <sz val="9"/>
            <color indexed="81"/>
            <rFont val="Tahoma"/>
            <family val="2"/>
          </rPr>
          <t xml:space="preserve">
08/01/26</t>
        </r>
      </text>
    </comment>
    <comment ref="S106" authorId="0" shapeId="0" xr:uid="{A8E767C9-5B8F-42E2-91BB-13E7F553466F}">
      <text>
        <r>
          <rPr>
            <b/>
            <sz val="8"/>
            <color indexed="81"/>
            <rFont val="Tahoma"/>
            <family val="2"/>
          </rPr>
          <t>Yamir Adrian Gomez:</t>
        </r>
        <r>
          <rPr>
            <sz val="8"/>
            <color indexed="81"/>
            <rFont val="Tahoma"/>
            <family val="2"/>
          </rPr>
          <t xml:space="preserve">
BACHILLER ACADEMICO</t>
        </r>
      </text>
    </comment>
    <comment ref="S107" authorId="0" shapeId="0" xr:uid="{F4399099-452E-45B2-A939-52EA8EA06D90}">
      <text>
        <r>
          <rPr>
            <b/>
            <sz val="8"/>
            <color indexed="81"/>
            <rFont val="Tahoma"/>
            <family val="2"/>
          </rPr>
          <t>Yamir Adrian Gomez:</t>
        </r>
        <r>
          <rPr>
            <sz val="8"/>
            <color indexed="81"/>
            <rFont val="Tahoma"/>
            <family val="2"/>
          </rPr>
          <t xml:space="preserve">
BACHILLER CURSO BASICO EN ECONOMIA Y SOLIDARIDAD</t>
        </r>
      </text>
    </comment>
    <comment ref="C108" authorId="0" shapeId="0" xr:uid="{B214F8EB-7283-41EA-BB74-284C41930898}">
      <text>
        <r>
          <rPr>
            <b/>
            <sz val="9"/>
            <color indexed="81"/>
            <rFont val="Tahoma"/>
            <family val="2"/>
          </rPr>
          <t>Yamir Adrian Gomez:</t>
        </r>
        <r>
          <rPr>
            <sz val="9"/>
            <color indexed="81"/>
            <rFont val="Tahoma"/>
            <family val="2"/>
          </rPr>
          <t xml:space="preserve">
Cargo de Manuel arteaga quien renuncio a partir del 01/07/2025</t>
        </r>
      </text>
    </comment>
    <comment ref="S108" authorId="0" shapeId="0" xr:uid="{382E70E1-5727-4E6E-9D84-15A78B5C3D54}">
      <text>
        <r>
          <rPr>
            <b/>
            <sz val="8"/>
            <color indexed="81"/>
            <rFont val="Tahoma"/>
            <family val="2"/>
          </rPr>
          <t>Yamir Adrian Gomez:</t>
        </r>
        <r>
          <rPr>
            <sz val="8"/>
            <color indexed="81"/>
            <rFont val="Tahoma"/>
            <family val="2"/>
          </rPr>
          <t xml:space="preserve">
BACHILLER ACADEMICO</t>
        </r>
      </text>
    </comment>
    <comment ref="C109" authorId="0" shapeId="0" xr:uid="{D7929211-45F1-4479-95D4-0D48E1DA2424}">
      <text>
        <r>
          <rPr>
            <b/>
            <sz val="9"/>
            <color indexed="81"/>
            <rFont val="Tahoma"/>
            <family val="2"/>
          </rPr>
          <t>Yamir Adrian Gomez:</t>
        </r>
        <r>
          <rPr>
            <sz val="9"/>
            <color indexed="81"/>
            <rFont val="Tahoma"/>
            <family val="2"/>
          </rPr>
          <t xml:space="preserve">
Javier armando vallejo</t>
        </r>
      </text>
    </comment>
    <comment ref="C110" authorId="0" shapeId="0" xr:uid="{D95F9D4B-AE3F-4F5E-8E47-E3507749CDD2}">
      <text>
        <r>
          <rPr>
            <b/>
            <sz val="9"/>
            <color indexed="81"/>
            <rFont val="Tahoma"/>
            <family val="2"/>
          </rPr>
          <t>Yamir Adrian Gomez:</t>
        </r>
        <r>
          <rPr>
            <sz val="9"/>
            <color indexed="81"/>
            <rFont val="Tahoma"/>
            <family val="2"/>
          </rPr>
          <t xml:space="preserve">
Cargo de Harold Benavides quien esta de encargo de Liniero I a partir del 05/11/24.HASTA 30/06/26 ESTUVO CESAR GOMEZ QUIEN PASO  ALINIERO I A PARTIR DEL 01/07/26</t>
        </r>
      </text>
    </comment>
    <comment ref="S110" authorId="0" shapeId="0" xr:uid="{17918F2F-8BD7-4ED0-961D-A414363827E8}">
      <text>
        <r>
          <rPr>
            <b/>
            <sz val="8"/>
            <color indexed="81"/>
            <rFont val="Tahoma"/>
            <family val="2"/>
          </rPr>
          <t>Yamir Adrian Gomez:</t>
        </r>
        <r>
          <rPr>
            <sz val="8"/>
            <color indexed="81"/>
            <rFont val="Tahoma"/>
            <family val="2"/>
          </rPr>
          <t xml:space="preserve">
MECANICO GENERAL. TECNICO EN MANTENIMIENTO INDUSTRIAL, TORNERO, SOLDADOR, FRESADOR</t>
        </r>
      </text>
    </comment>
    <comment ref="C111" authorId="0" shapeId="0" xr:uid="{A4CE6A57-9228-4671-AB8D-7ED2ABD0581A}">
      <text>
        <r>
          <rPr>
            <b/>
            <sz val="9"/>
            <color indexed="81"/>
            <rFont val="Tahoma"/>
            <family val="2"/>
          </rPr>
          <t>Yamir Adrian Gomez:</t>
        </r>
        <r>
          <rPr>
            <sz val="9"/>
            <color indexed="81"/>
            <rFont val="Tahoma"/>
            <family val="2"/>
          </rPr>
          <t xml:space="preserve">
COM FUNC CAD</t>
        </r>
      </text>
    </comment>
    <comment ref="S111" authorId="0" shapeId="0" xr:uid="{DC0D9BCF-E97D-4025-9237-DA27293A0E1E}">
      <text>
        <r>
          <rPr>
            <b/>
            <sz val="8"/>
            <color indexed="81"/>
            <rFont val="Tahoma"/>
            <family val="2"/>
          </rPr>
          <t>Yamir Adrian Gomez:</t>
        </r>
        <r>
          <rPr>
            <sz val="8"/>
            <color indexed="81"/>
            <rFont val="Tahoma"/>
            <family val="2"/>
          </rPr>
          <t xml:space="preserve">
BACHILLER ACADEMICO, CURSO WINDOWS 2007</t>
        </r>
      </text>
    </comment>
    <comment ref="D113" authorId="0" shapeId="0" xr:uid="{772AAD3A-7234-46F7-A1B1-4B8BBA2575A8}">
      <text>
        <r>
          <rPr>
            <b/>
            <sz val="9"/>
            <color indexed="81"/>
            <rFont val="Tahoma"/>
            <family val="2"/>
          </rPr>
          <t>Yamir Adrian Gomez:</t>
        </r>
        <r>
          <rPr>
            <sz val="9"/>
            <color indexed="81"/>
            <rFont val="Tahoma"/>
            <family val="2"/>
          </rPr>
          <t xml:space="preserve">
COM A PARETIR DEL 25/07/22</t>
        </r>
      </text>
    </comment>
    <comment ref="D116" authorId="0" shapeId="0" xr:uid="{E1E8D81B-B455-43B4-9ECC-1944D5A38A8E}">
      <text>
        <r>
          <rPr>
            <b/>
            <sz val="9"/>
            <color indexed="81"/>
            <rFont val="Tahoma"/>
            <family val="2"/>
          </rPr>
          <t>Yamir Adrian Gomez:</t>
        </r>
        <r>
          <rPr>
            <sz val="9"/>
            <color indexed="81"/>
            <rFont val="Tahoma"/>
            <family val="2"/>
          </rPr>
          <t xml:space="preserve">
DIV OPERACIONES</t>
        </r>
      </text>
    </comment>
    <comment ref="S116" authorId="0" shapeId="0" xr:uid="{2E893B58-9624-4F29-815B-63A16ADD461B}">
      <text>
        <r>
          <rPr>
            <b/>
            <sz val="8"/>
            <color indexed="81"/>
            <rFont val="Tahoma"/>
            <family val="2"/>
          </rPr>
          <t>Yamir Adrian Gomez:</t>
        </r>
        <r>
          <rPr>
            <sz val="8"/>
            <color indexed="81"/>
            <rFont val="Tahoma"/>
            <family val="2"/>
          </rPr>
          <t xml:space="preserve">
BACHILLER TECNICO INDUSTRIAL. TECNICO ELECTRICISTA</t>
        </r>
      </text>
    </comment>
    <comment ref="C118" authorId="0" shapeId="0" xr:uid="{9E4223C7-3678-4CD6-8B66-F7B0DC3AF25A}">
      <text>
        <r>
          <rPr>
            <b/>
            <sz val="9"/>
            <color indexed="81"/>
            <rFont val="Tahoma"/>
            <family val="2"/>
          </rPr>
          <t>Yamir Adrian Gomez:</t>
        </r>
        <r>
          <rPr>
            <sz val="9"/>
            <color indexed="81"/>
            <rFont val="Tahoma"/>
            <family val="2"/>
          </rPr>
          <t xml:space="preserve">
CARGO DE SEGUNDO CASTILLO</t>
        </r>
      </text>
    </comment>
    <comment ref="S118" authorId="0" shapeId="0" xr:uid="{0B2847E0-15BC-42C2-9854-E76F06CA4570}">
      <text>
        <r>
          <rPr>
            <b/>
            <sz val="8"/>
            <color indexed="81"/>
            <rFont val="Tahoma"/>
            <family val="2"/>
          </rPr>
          <t>Yamir Adrian Gomez:</t>
        </r>
        <r>
          <rPr>
            <sz val="8"/>
            <color indexed="81"/>
            <rFont val="Tahoma"/>
            <family val="2"/>
          </rPr>
          <t xml:space="preserve">
ELECTRICIDAD BASICA Y MANEJO DE MEDIDORESAUXILIAR DE CONTABILIDAD Y SECRETARIADO, CURSO DE COMERCIO, CURSO DE WINDOWS</t>
        </r>
      </text>
    </comment>
    <comment ref="C119" authorId="0" shapeId="0" xr:uid="{6258DDC4-2612-4492-8E41-5FDFBBF0509A}">
      <text>
        <r>
          <rPr>
            <b/>
            <sz val="9"/>
            <color indexed="81"/>
            <rFont val="Tahoma"/>
            <family val="2"/>
          </rPr>
          <t>Yamir Adrian Gomez:</t>
        </r>
        <r>
          <rPr>
            <sz val="9"/>
            <color indexed="81"/>
            <rFont val="Tahoma"/>
            <family val="2"/>
          </rPr>
          <t xml:space="preserve">
CARGO DE JOHN JAIRO PAZ</t>
        </r>
      </text>
    </comment>
    <comment ref="S119" authorId="0" shapeId="0" xr:uid="{751F50CD-7419-4694-B9DB-A2AFDE9CB901}">
      <text>
        <r>
          <rPr>
            <b/>
            <sz val="8"/>
            <color indexed="81"/>
            <rFont val="Tahoma"/>
            <family val="2"/>
          </rPr>
          <t>Yamir Adrian Gomez:</t>
        </r>
        <r>
          <rPr>
            <sz val="8"/>
            <color indexed="81"/>
            <rFont val="Tahoma"/>
            <family val="2"/>
          </rPr>
          <t xml:space="preserve">
BACHILLER- NOENO GRADO</t>
        </r>
      </text>
    </comment>
    <comment ref="C120" authorId="0" shapeId="0" xr:uid="{AD68FCFD-B354-4ECC-9616-E4B2FD800380}">
      <text>
        <r>
          <rPr>
            <b/>
            <sz val="9"/>
            <color indexed="81"/>
            <rFont val="Tahoma"/>
            <family val="2"/>
          </rPr>
          <t>Yamir Adrian Gomez:</t>
        </r>
        <r>
          <rPr>
            <sz val="9"/>
            <color indexed="81"/>
            <rFont val="Tahoma"/>
            <family val="2"/>
          </rPr>
          <t xml:space="preserve">
cargo astrid suescun qien paso a Auxilair I a partri del 01/01/26</t>
        </r>
      </text>
    </comment>
    <comment ref="C121" authorId="0" shapeId="0" xr:uid="{27F647C4-9132-4119-818E-D93639BC8CF6}">
      <text>
        <r>
          <rPr>
            <b/>
            <sz val="9"/>
            <color indexed="81"/>
            <rFont val="Tahoma"/>
            <family val="2"/>
          </rPr>
          <t>Yamir Adrian Gomez:</t>
        </r>
        <r>
          <rPr>
            <sz val="9"/>
            <color indexed="81"/>
            <rFont val="Tahoma"/>
            <family val="2"/>
          </rPr>
          <t xml:space="preserve">
Cargo de Pavel saenz ( SERV ADMIN). COM FUNC GESTION CLIENTES</t>
        </r>
      </text>
    </comment>
    <comment ref="H121" authorId="0" shapeId="0" xr:uid="{CFE09ADB-32D5-4501-B2EF-FA41C3633096}">
      <text>
        <r>
          <rPr>
            <b/>
            <sz val="9"/>
            <color indexed="81"/>
            <rFont val="Tahoma"/>
            <family val="2"/>
          </rPr>
          <t>Yamir Adrian Gomez:</t>
        </r>
        <r>
          <rPr>
            <sz val="9"/>
            <color indexed="81"/>
            <rFont val="Tahoma"/>
            <family val="2"/>
          </rPr>
          <t xml:space="preserve">
08/01/26</t>
        </r>
      </text>
    </comment>
    <comment ref="S121" authorId="0" shapeId="0" xr:uid="{BF8CFDFD-FAFA-4CE7-A136-85DAEB975428}">
      <text>
        <r>
          <rPr>
            <b/>
            <sz val="8"/>
            <color indexed="81"/>
            <rFont val="Tahoma"/>
            <family val="2"/>
          </rPr>
          <t>Yamir Adrian Gomez:</t>
        </r>
        <r>
          <rPr>
            <sz val="8"/>
            <color indexed="81"/>
            <rFont val="Tahoma"/>
            <family val="2"/>
          </rPr>
          <t xml:space="preserve">
BACHILLER TECNICO INDUSTRIAL ESPECIALIDAD MOTORES ITSIN</t>
        </r>
      </text>
    </comment>
    <comment ref="C122" authorId="0" shapeId="0" xr:uid="{8BF0AD71-E807-4142-AF06-06D3B7AADF6E}">
      <text>
        <r>
          <rPr>
            <b/>
            <sz val="9"/>
            <color indexed="81"/>
            <rFont val="Tahoma"/>
            <family val="2"/>
          </rPr>
          <t>Yamir Adrian Gomez:</t>
        </r>
        <r>
          <rPr>
            <sz val="9"/>
            <color indexed="81"/>
            <rFont val="Tahoma"/>
            <family val="2"/>
          </rPr>
          <t xml:space="preserve">
ENCARGO COMO INST LECT(CT) DESDE EL 09/09/25.caRGO DE EFRAIN ALVA. ASCENSO A PARTIR DEL 01/01/26. COM FUN SERV ADMIN</t>
        </r>
      </text>
    </comment>
    <comment ref="S122" authorId="0" shapeId="0" xr:uid="{274D40E8-C05D-407A-816D-ABFB6805D674}">
      <text>
        <r>
          <rPr>
            <b/>
            <sz val="8"/>
            <color indexed="81"/>
            <rFont val="Tahoma"/>
            <family val="2"/>
          </rPr>
          <t>Yamir Adrian Gomez:</t>
        </r>
        <r>
          <rPr>
            <sz val="8"/>
            <color indexed="81"/>
            <rFont val="Tahoma"/>
            <family val="2"/>
          </rPr>
          <t xml:space="preserve">
BACHILLER TECNICO INDUSTRIAL ESPECIALIDAD MOTORES ITSIN</t>
        </r>
      </text>
    </comment>
    <comment ref="C123" authorId="0" shapeId="0" xr:uid="{68959A02-1D3A-4226-90BD-819231B0DA24}">
      <text>
        <r>
          <rPr>
            <b/>
            <sz val="9"/>
            <color indexed="81"/>
            <rFont val="Tahoma"/>
            <family val="2"/>
          </rPr>
          <t>Yamir Adrian Gomez:</t>
        </r>
        <r>
          <rPr>
            <sz val="9"/>
            <color indexed="81"/>
            <rFont val="Tahoma"/>
            <family val="2"/>
          </rPr>
          <t xml:space="preserve">
Cargo de Ipiales de jonathan salcedo. SE LO PASO A PASTO DIV ADMINISTRATIVA. CARGO DE MANUEL OLIVA QUIEN PASO AUX II</t>
        </r>
      </text>
    </comment>
    <comment ref="S123" authorId="0" shapeId="0" xr:uid="{A63D6FDF-877F-4CD4-8EBE-C02FFA90EBA7}">
      <text>
        <r>
          <rPr>
            <b/>
            <sz val="8"/>
            <color indexed="81"/>
            <rFont val="Tahoma"/>
            <family val="2"/>
          </rPr>
          <t>Yamir Adrian Gomez:</t>
        </r>
        <r>
          <rPr>
            <sz val="8"/>
            <color indexed="81"/>
            <rFont val="Tahoma"/>
            <family val="2"/>
          </rPr>
          <t xml:space="preserve">
ADMINISTRADOR DE EMPRESAS</t>
        </r>
      </text>
    </comment>
    <comment ref="C125" authorId="0" shapeId="0" xr:uid="{C0E5B45A-0449-40A0-B9C6-6DB6856BEA17}">
      <text>
        <r>
          <rPr>
            <b/>
            <sz val="9"/>
            <color indexed="81"/>
            <rFont val="Tahoma"/>
            <family val="2"/>
          </rPr>
          <t>Yamir Adrian Gomez:</t>
        </r>
        <r>
          <rPr>
            <sz val="9"/>
            <color indexed="81"/>
            <rFont val="Tahoma"/>
            <family val="2"/>
          </rPr>
          <t xml:space="preserve">
CARGO DE JAIME FOLLECO QUIEN RENUNCIO A PARTIR DEL 01/08/2026</t>
        </r>
      </text>
    </comment>
    <comment ref="S126" authorId="0" shapeId="0" xr:uid="{935BB236-EC77-4A2F-9327-B7312F5D5FD9}">
      <text>
        <r>
          <rPr>
            <b/>
            <sz val="8"/>
            <color indexed="81"/>
            <rFont val="Tahoma"/>
            <family val="2"/>
          </rPr>
          <t>Yamir Adrian Gomez:</t>
        </r>
        <r>
          <rPr>
            <sz val="8"/>
            <color indexed="81"/>
            <rFont val="Tahoma"/>
            <family val="2"/>
          </rPr>
          <t xml:space="preserve">
BACHILLER TECNICO INDUSTRIAL
</t>
        </r>
      </text>
    </comment>
    <comment ref="C127" authorId="0" shapeId="0" xr:uid="{15B3D980-8C03-467E-BA3D-BAA6076B64E9}">
      <text>
        <r>
          <rPr>
            <b/>
            <sz val="9"/>
            <color indexed="81"/>
            <rFont val="Tahoma"/>
            <family val="2"/>
          </rPr>
          <t>Yamir Adrian Gomez:</t>
        </r>
        <r>
          <rPr>
            <sz val="9"/>
            <color indexed="81"/>
            <rFont val="Tahoma"/>
            <family val="2"/>
          </rPr>
          <t xml:space="preserve">
CARGO DE CT. COM FUNC CAD</t>
        </r>
      </text>
    </comment>
    <comment ref="S127" authorId="0" shapeId="0" xr:uid="{FA12BBB5-0BF6-4A1D-BA9E-234A6FC08EF1}">
      <text>
        <r>
          <rPr>
            <b/>
            <sz val="8"/>
            <color indexed="81"/>
            <rFont val="Tahoma"/>
            <family val="2"/>
          </rPr>
          <t>Yamir Adrian Gomez:</t>
        </r>
        <r>
          <rPr>
            <sz val="8"/>
            <color indexed="81"/>
            <rFont val="Tahoma"/>
            <family val="2"/>
          </rPr>
          <t xml:space="preserve">
TECNICO EN CONTABILIDAD Y FINANZAS. AUX EN SISTEMAS. MODULO FORMACION EN ELECTRICIDAD, INSTALACION Y MANTENIMIENTO, ADMON. MICROEMPRESAS, COMERCIO EXTERIOR, INFORMATICA BASICA.</t>
        </r>
      </text>
    </comment>
    <comment ref="C128" authorId="0" shapeId="0" xr:uid="{58FFBABD-8156-4DA8-A91B-7BD16BE9DD7A}">
      <text>
        <r>
          <rPr>
            <b/>
            <sz val="9"/>
            <color indexed="81"/>
            <rFont val="Tahoma"/>
            <family val="2"/>
          </rPr>
          <t>Yamir Adrian Gomez:</t>
        </r>
        <r>
          <rPr>
            <sz val="9"/>
            <color indexed="81"/>
            <rFont val="Tahoma"/>
            <family val="2"/>
          </rPr>
          <t xml:space="preserve">
COM FUNC CAD</t>
        </r>
      </text>
    </comment>
    <comment ref="S129" authorId="0" shapeId="0" xr:uid="{21FF980A-624D-4A26-906D-66AE3EBA6DD4}">
      <text>
        <r>
          <rPr>
            <b/>
            <sz val="8"/>
            <color indexed="81"/>
            <rFont val="Tahoma"/>
            <family val="2"/>
          </rPr>
          <t>Yamir Adrian Gomez:</t>
        </r>
        <r>
          <rPr>
            <sz val="8"/>
            <color indexed="81"/>
            <rFont val="Tahoma"/>
            <family val="2"/>
          </rPr>
          <t xml:space="preserve">
ING. ELECTRICISTA. ESPECIALISTA EN PROYECTOS DE DESARROLLO.  ESPECIALISTA EN SISTEMAS DE TRANSMISION Y DISTRIBUCION DE ENERGIA ELECTRICA. MAESTRIA EN ESTADISTICA</t>
        </r>
      </text>
    </comment>
    <comment ref="S130" authorId="0" shapeId="0" xr:uid="{3322F608-256D-4B84-945B-21A3D5F95700}">
      <text>
        <r>
          <rPr>
            <b/>
            <sz val="8"/>
            <color indexed="81"/>
            <rFont val="Tahoma"/>
            <family val="2"/>
          </rPr>
          <t>Yamir Adrian Gomez:</t>
        </r>
        <r>
          <rPr>
            <sz val="8"/>
            <color indexed="81"/>
            <rFont val="Tahoma"/>
            <family val="2"/>
          </rPr>
          <t xml:space="preserve">
BACHILLER, 6 SEMESTRES DE IDIOMAS. BASICO EN SISTEMAS</t>
        </r>
      </text>
    </comment>
    <comment ref="S131" authorId="0" shapeId="0" xr:uid="{73C16527-2DA0-4358-9894-BAAA0CAEBBFE}">
      <text>
        <r>
          <rPr>
            <b/>
            <sz val="8"/>
            <color indexed="81"/>
            <rFont val="Tahoma"/>
            <family val="2"/>
          </rPr>
          <t>Yamir Adrian Gomez:</t>
        </r>
        <r>
          <rPr>
            <sz val="8"/>
            <color indexed="81"/>
            <rFont val="Tahoma"/>
            <family val="2"/>
          </rPr>
          <t xml:space="preserve">
INGENIERO ELECTRICISTA CAP EN ADMINISTRACION PUBLICA, INFORMATICA BASICA.</t>
        </r>
      </text>
    </comment>
    <comment ref="S132" authorId="0" shapeId="0" xr:uid="{E0D83DBC-B93C-4A16-BE54-E30D9F7A7A70}">
      <text>
        <r>
          <rPr>
            <b/>
            <sz val="8"/>
            <color indexed="81"/>
            <rFont val="Tahoma"/>
            <family val="2"/>
          </rPr>
          <t>Yamir Adrian Gomez:</t>
        </r>
        <r>
          <rPr>
            <sz val="8"/>
            <color indexed="81"/>
            <rFont val="Tahoma"/>
            <family val="2"/>
          </rPr>
          <t xml:space="preserve">
INGENIERO ELECTRICISTA, CURSO INFORMATICA Y HERRAMIENTAS MACROMEDIADREAMWEAVER MX, </t>
        </r>
      </text>
    </comment>
    <comment ref="S133" authorId="1" shapeId="0" xr:uid="{B582F572-95A0-47A4-AC98-4F3BA27CF85A}">
      <text>
        <r>
          <rPr>
            <b/>
            <sz val="9"/>
            <color indexed="81"/>
            <rFont val="Tahoma"/>
            <family val="2"/>
          </rPr>
          <t>YAMIR GOMEZ:</t>
        </r>
        <r>
          <rPr>
            <sz val="9"/>
            <color indexed="81"/>
            <rFont val="Tahoma"/>
            <family val="2"/>
          </rPr>
          <t xml:space="preserve">
ING ELECTRICISTA</t>
        </r>
      </text>
    </comment>
    <comment ref="C134" authorId="0" shapeId="0" xr:uid="{AF8FAAC1-BE4D-4D32-9A3C-68847B55891C}">
      <text>
        <r>
          <rPr>
            <b/>
            <sz val="9"/>
            <color indexed="81"/>
            <rFont val="Tahoma"/>
            <family val="2"/>
          </rPr>
          <t>Yamir Adrian Gomez:</t>
        </r>
        <r>
          <rPr>
            <sz val="9"/>
            <color indexed="81"/>
            <rFont val="Tahoma"/>
            <family val="2"/>
          </rPr>
          <t xml:space="preserve">
ENCARGO DE PI APARTIR DEL 17/06/24. CARGO DE LUCY PAREJA QUIEN RENUNCIO A PARTIR DEL 01/06/2024. ASCENSO A PARTIR DEL 01/01/26</t>
        </r>
      </text>
    </comment>
    <comment ref="S134" authorId="0" shapeId="0" xr:uid="{9A5B444A-91E6-4158-B894-E7E20C993774}">
      <text>
        <r>
          <rPr>
            <b/>
            <sz val="8"/>
            <color indexed="81"/>
            <rFont val="Tahoma"/>
            <family val="2"/>
          </rPr>
          <t>Yamir Adrian Gomez:</t>
        </r>
        <r>
          <rPr>
            <sz val="8"/>
            <color indexed="81"/>
            <rFont val="Tahoma"/>
            <family val="2"/>
          </rPr>
          <t xml:space="preserve">
TECNOLOGA EN ADMINISTRACION FINANCIERA. PROFESIONAL EN ADMINISTRACION DE EMPRESAS, DECORACION DE EVENTOS, INFORMATICA BASICA.</t>
        </r>
      </text>
    </comment>
    <comment ref="C135" authorId="0" shapeId="0" xr:uid="{4A940B58-AF00-47BD-B010-4AB3E336401C}">
      <text>
        <r>
          <rPr>
            <b/>
            <sz val="9"/>
            <color indexed="81"/>
            <rFont val="Tahoma"/>
            <family val="2"/>
          </rPr>
          <t>Yamir Adrian Gomez:</t>
        </r>
        <r>
          <rPr>
            <sz val="9"/>
            <color indexed="81"/>
            <rFont val="Tahoma"/>
            <family val="2"/>
          </rPr>
          <t xml:space="preserve">
Cargo de HENRRY PEREZ</t>
        </r>
      </text>
    </comment>
    <comment ref="S135" authorId="0" shapeId="0" xr:uid="{1D5DC0C7-9812-497B-B412-5A174D5EF1C8}">
      <text>
        <r>
          <rPr>
            <b/>
            <sz val="8"/>
            <color indexed="81"/>
            <rFont val="Tahoma"/>
            <family val="2"/>
          </rPr>
          <t>Yamir Adrian Gomez:</t>
        </r>
        <r>
          <rPr>
            <sz val="8"/>
            <color indexed="81"/>
            <rFont val="Tahoma"/>
            <family val="2"/>
          </rPr>
          <t xml:space="preserve">
TECNICO INDUSTRIAL ELECTRICIDAD, INGENIERO ELECTROMECANICO </t>
        </r>
      </text>
    </comment>
    <comment ref="C136" authorId="0" shapeId="0" xr:uid="{49B76ADC-1B78-4488-A24B-867CDB8FAA5C}">
      <text>
        <r>
          <rPr>
            <b/>
            <sz val="9"/>
            <color indexed="81"/>
            <rFont val="Tahoma"/>
            <family val="2"/>
          </rPr>
          <t>Yamir Adrian Gomez:</t>
        </r>
        <r>
          <rPr>
            <sz val="9"/>
            <color indexed="81"/>
            <rFont val="Tahoma"/>
            <family val="2"/>
          </rPr>
          <t xml:space="preserve">
CARGO DE FERNADNO AGREDA QUIEN RENUNCIO A PARTIR DEL 01/08/26</t>
        </r>
      </text>
    </comment>
    <comment ref="S136" authorId="0" shapeId="0" xr:uid="{B4C7CCA2-7AD7-48ED-A288-8D0EABEC591C}">
      <text>
        <r>
          <rPr>
            <b/>
            <sz val="8"/>
            <color indexed="81"/>
            <rFont val="Tahoma"/>
            <family val="2"/>
          </rPr>
          <t>Yamir Adrian Gomez:</t>
        </r>
        <r>
          <rPr>
            <sz val="8"/>
            <color indexed="81"/>
            <rFont val="Tahoma"/>
            <family val="2"/>
          </rPr>
          <t xml:space="preserve">
INGENIERO ELECTRICISTA. ESPECIALISTA EN REDES Y SERVICIOS TELEMATICOS</t>
        </r>
      </text>
    </comment>
    <comment ref="C137" authorId="0" shapeId="0" xr:uid="{F420D7CB-CA99-411A-AC9E-51AE149D441A}">
      <text>
        <r>
          <rPr>
            <b/>
            <sz val="9"/>
            <color indexed="81"/>
            <rFont val="Tahoma"/>
            <family val="2"/>
          </rPr>
          <t>Yamir Adrian Gomez:</t>
        </r>
        <r>
          <rPr>
            <sz val="9"/>
            <color indexed="81"/>
            <rFont val="Tahoma"/>
            <family val="2"/>
          </rPr>
          <t xml:space="preserve">
CARGO DE JAIRO VINUEZA</t>
        </r>
      </text>
    </comment>
    <comment ref="S137" authorId="1" shapeId="0" xr:uid="{1E3FFA8D-381C-4E2B-9FE0-9423F24218F3}">
      <text>
        <r>
          <rPr>
            <b/>
            <sz val="9"/>
            <color indexed="81"/>
            <rFont val="Tahoma"/>
            <family val="2"/>
          </rPr>
          <t>YAMIR GOMEZ:</t>
        </r>
        <r>
          <rPr>
            <sz val="9"/>
            <color indexed="81"/>
            <rFont val="Tahoma"/>
            <family val="2"/>
          </rPr>
          <t xml:space="preserve">
ING ELECTRICISTA</t>
        </r>
      </text>
    </comment>
    <comment ref="S138" authorId="0" shapeId="0" xr:uid="{D84E8429-E858-41F1-B95B-EA2E149FAB04}">
      <text>
        <r>
          <rPr>
            <b/>
            <sz val="8"/>
            <color indexed="81"/>
            <rFont val="Tahoma"/>
            <family val="2"/>
          </rPr>
          <t>Yamir Adrian Gomez:</t>
        </r>
        <r>
          <rPr>
            <sz val="8"/>
            <color indexed="81"/>
            <rFont val="Tahoma"/>
            <family val="2"/>
          </rPr>
          <t xml:space="preserve">
INGENIERO ELECTRICISTA, BACHILLER COMERCIAL, CURSO DE PRINCIPIOS BASICOS DE PISICULTURA, CURSO FONTANERIA MUNICIPAL, CURSO DE EVALUADOR DE COMPETENCIA LABORALES,DIPLOMADO INDUSTRIAL Y SALUD OCUPACIONAL, FORMACION EN SISTEMAS DE GESTION DE SEGURIDAD INDUSTRIAL Y SALUD OCUPACIONAL, MANTENIMIENTO DE REDES DESENERGIZADAS.</t>
        </r>
      </text>
    </comment>
    <comment ref="C139" authorId="0" shapeId="0" xr:uid="{473A4351-469F-43D0-9E64-ECC39E9DB62A}">
      <text>
        <r>
          <rPr>
            <b/>
            <sz val="9"/>
            <color indexed="81"/>
            <rFont val="Tahoma"/>
            <family val="2"/>
          </rPr>
          <t>Yamir Adrian Gomez:</t>
        </r>
        <r>
          <rPr>
            <sz val="9"/>
            <color indexed="81"/>
            <rFont val="Tahoma"/>
            <family val="2"/>
          </rPr>
          <t xml:space="preserve">
CARGO DE LUIS EDAURDO SOLARTE</t>
        </r>
      </text>
    </comment>
    <comment ref="S139" authorId="0" shapeId="0" xr:uid="{B0887F75-C548-45D5-8564-9E35F21128D0}">
      <text>
        <r>
          <rPr>
            <b/>
            <sz val="8"/>
            <color indexed="81"/>
            <rFont val="Tahoma"/>
            <family val="2"/>
          </rPr>
          <t>Yamir Adrian Gomez:</t>
        </r>
        <r>
          <rPr>
            <sz val="8"/>
            <color indexed="81"/>
            <rFont val="Tahoma"/>
            <family val="2"/>
          </rPr>
          <t xml:space="preserve">
INGENIERO DE SISTEMAS. TECNICO ELECTRICICTA</t>
        </r>
      </text>
    </comment>
    <comment ref="C140" authorId="0" shapeId="0" xr:uid="{B9AF6A3B-6A19-446F-B99C-73DBB10A9852}">
      <text>
        <r>
          <rPr>
            <b/>
            <sz val="9"/>
            <color indexed="81"/>
            <rFont val="Tahoma"/>
            <family val="2"/>
          </rPr>
          <t>Yamir Adrian Gomez:</t>
        </r>
        <r>
          <rPr>
            <sz val="9"/>
            <color indexed="81"/>
            <rFont val="Tahoma"/>
            <family val="2"/>
          </rPr>
          <t xml:space="preserve">
Cargo de HENRY PEREZ quien paso a PI. ASCENSO A PARTIR DEL 01/01/26. </t>
        </r>
      </text>
    </comment>
    <comment ref="S140" authorId="0" shapeId="0" xr:uid="{A07CC73A-0AF5-4763-99E6-C1F4229154D9}">
      <text>
        <r>
          <rPr>
            <b/>
            <sz val="8"/>
            <color indexed="81"/>
            <rFont val="Tahoma"/>
            <family val="2"/>
          </rPr>
          <t>Yamir Adrian Gomez:</t>
        </r>
        <r>
          <rPr>
            <sz val="8"/>
            <color indexed="81"/>
            <rFont val="Tahoma"/>
            <family val="2"/>
          </rPr>
          <t xml:space="preserve">
INGENIERO ELECTRICISTA</t>
        </r>
      </text>
    </comment>
    <comment ref="C141" authorId="0" shapeId="0" xr:uid="{9E5F56F2-6E52-4928-B679-C29DB68160D7}">
      <text>
        <r>
          <rPr>
            <b/>
            <sz val="9"/>
            <color indexed="81"/>
            <rFont val="Tahoma"/>
            <family val="2"/>
          </rPr>
          <t>Yamir Adrian Gomez:</t>
        </r>
        <r>
          <rPr>
            <sz val="9"/>
            <color indexed="81"/>
            <rFont val="Tahoma"/>
            <family val="2"/>
          </rPr>
          <t xml:space="preserve">
ENCARGO DE PII DESDE EL 16/06/24. CARGO DE CARLOS HORMAZA QUIEN ESTA DE PI EN PERDIDAS.ASCENSO A PARTIR DEL 01/01/26.</t>
        </r>
      </text>
    </comment>
    <comment ref="C142" authorId="0" shapeId="0" xr:uid="{28D9EFDB-79FF-47D4-8AFE-8DE9AD9CC5F0}">
      <text>
        <r>
          <rPr>
            <b/>
            <sz val="9"/>
            <color indexed="81"/>
            <rFont val="Tahoma"/>
            <family val="2"/>
          </rPr>
          <t>Yamir Adrian Gomez:</t>
        </r>
        <r>
          <rPr>
            <sz val="9"/>
            <color indexed="81"/>
            <rFont val="Tahoma"/>
            <family val="2"/>
          </rPr>
          <t xml:space="preserve">
CARGO DE DANNY BASTIDAS QUIEN ESTA DE ENC COMO PI</t>
        </r>
      </text>
    </comment>
    <comment ref="S142" authorId="0" shapeId="0" xr:uid="{E6AB1462-DA99-4A4C-BCE7-C94743F0AFDF}">
      <text>
        <r>
          <rPr>
            <b/>
            <sz val="8"/>
            <color indexed="81"/>
            <rFont val="Tahoma"/>
            <family val="2"/>
          </rPr>
          <t>Yamir Adrian Gomez:</t>
        </r>
        <r>
          <rPr>
            <sz val="8"/>
            <color indexed="81"/>
            <rFont val="Tahoma"/>
            <family val="2"/>
          </rPr>
          <t xml:space="preserve">
INGENIERO ELECTRONICO, SISTEMA OPERATIVO Y DISPOSITIVOS DE RED, CURSO BASICO EN IEC</t>
        </r>
      </text>
    </comment>
    <comment ref="S143" authorId="0" shapeId="0" xr:uid="{4778171D-89A6-4291-9054-AFD0F5877A44}">
      <text>
        <r>
          <rPr>
            <b/>
            <sz val="8"/>
            <color indexed="81"/>
            <rFont val="Tahoma"/>
            <family val="2"/>
          </rPr>
          <t>Yamir Adrian Gomez:</t>
        </r>
        <r>
          <rPr>
            <sz val="8"/>
            <color indexed="81"/>
            <rFont val="Tahoma"/>
            <family val="2"/>
          </rPr>
          <t xml:space="preserve">
INGENIERO ELECTRICISTA</t>
        </r>
      </text>
    </comment>
    <comment ref="C144" authorId="0" shapeId="0" xr:uid="{6186C1C5-FA5A-4070-BE0A-73019877FF3F}">
      <text>
        <r>
          <rPr>
            <b/>
            <sz val="9"/>
            <color indexed="81"/>
            <rFont val="Tahoma"/>
            <family val="2"/>
          </rPr>
          <t>Yamir Adrian Gomez:</t>
        </r>
        <r>
          <rPr>
            <sz val="9"/>
            <color indexed="81"/>
            <rFont val="Tahoma"/>
            <family val="2"/>
          </rPr>
          <t xml:space="preserve">
CARGO DE DANNY BEDOYA</t>
        </r>
      </text>
    </comment>
    <comment ref="S144" authorId="0" shapeId="0" xr:uid="{D42F5FD1-4412-4FF0-B754-5156B7046B1E}">
      <text>
        <r>
          <rPr>
            <b/>
            <sz val="8"/>
            <color indexed="81"/>
            <rFont val="Tahoma"/>
            <family val="2"/>
          </rPr>
          <t>Yamir Adrian Gomez:</t>
        </r>
        <r>
          <rPr>
            <sz val="8"/>
            <color indexed="81"/>
            <rFont val="Tahoma"/>
            <family val="2"/>
          </rPr>
          <t xml:space="preserve">
BACHILLER ACADEMICO, SIETE SEMESTRES DE INGENIERIA DE SISTEMAS. OPERADOR DE SISTEMAS</t>
        </r>
      </text>
    </comment>
    <comment ref="S145" authorId="0" shapeId="0" xr:uid="{88DD2A2E-BD24-4143-B044-654CB7B77F74}">
      <text>
        <r>
          <rPr>
            <b/>
            <sz val="8"/>
            <color indexed="81"/>
            <rFont val="Tahoma"/>
            <family val="2"/>
          </rPr>
          <t>Yamir Adrian Gomez:</t>
        </r>
        <r>
          <rPr>
            <sz val="8"/>
            <color indexed="81"/>
            <rFont val="Tahoma"/>
            <family val="2"/>
          </rPr>
          <t xml:space="preserve">
LICENCIATURA EN MATEMATICAS</t>
        </r>
      </text>
    </comment>
    <comment ref="S146" authorId="0" shapeId="0" xr:uid="{E995D1B8-A339-43F4-A36A-C16291B59F30}">
      <text>
        <r>
          <rPr>
            <b/>
            <sz val="8"/>
            <color indexed="81"/>
            <rFont val="Tahoma"/>
            <family val="2"/>
          </rPr>
          <t xml:space="preserve">Yamir Adrian Gomez:
</t>
        </r>
        <r>
          <rPr>
            <sz val="8"/>
            <color indexed="81"/>
            <rFont val="Tahoma"/>
            <family val="2"/>
          </rPr>
          <t>Estudiante 9 semestre Ingenieria Ambiental.</t>
        </r>
      </text>
    </comment>
    <comment ref="C147" authorId="0" shapeId="0" xr:uid="{FC48A91C-0B1C-4A50-A12C-48784D18B684}">
      <text>
        <r>
          <rPr>
            <b/>
            <sz val="9"/>
            <color indexed="81"/>
            <rFont val="Tahoma"/>
            <family val="2"/>
          </rPr>
          <t>Yamir Adrian Gomez:</t>
        </r>
        <r>
          <rPr>
            <sz val="9"/>
            <color indexed="81"/>
            <rFont val="Tahoma"/>
            <family val="2"/>
          </rPr>
          <t xml:space="preserve">
TRASLADO DE COMPRAS A CLC DESDE 21/04/25.</t>
        </r>
      </text>
    </comment>
    <comment ref="S147" authorId="0" shapeId="0" xr:uid="{8E26D849-B843-4C11-AA50-B448EE4CF98C}">
      <text>
        <r>
          <rPr>
            <b/>
            <sz val="8"/>
            <color indexed="81"/>
            <rFont val="Tahoma"/>
            <family val="2"/>
          </rPr>
          <t>Yamir Adrian Gomez:</t>
        </r>
        <r>
          <rPr>
            <sz val="8"/>
            <color indexed="81"/>
            <rFont val="Tahoma"/>
            <family val="2"/>
          </rPr>
          <t xml:space="preserve">
Administreadora publica</t>
        </r>
      </text>
    </comment>
    <comment ref="S148" authorId="0" shapeId="0" xr:uid="{2213BFA3-0ECB-495E-AFFA-5307CFE6909D}">
      <text>
        <r>
          <rPr>
            <b/>
            <sz val="8"/>
            <color indexed="81"/>
            <rFont val="Tahoma"/>
            <family val="2"/>
          </rPr>
          <t>Yamir Adrian Gomez:</t>
        </r>
        <r>
          <rPr>
            <sz val="8"/>
            <color indexed="81"/>
            <rFont val="Tahoma"/>
            <family val="2"/>
          </rPr>
          <t xml:space="preserve">
TECNOLOGIA EN ELECTROMECANICA, AUXILAR EN SISTEMAS, CUATRO NIVELES DE INGLES</t>
        </r>
      </text>
    </comment>
    <comment ref="C149" authorId="2" shapeId="0" xr:uid="{1F2DA1A9-2CE3-482B-BD0A-15DC4FA2D356}">
      <text>
        <r>
          <rPr>
            <b/>
            <sz val="9"/>
            <color indexed="81"/>
            <rFont val="Tahoma"/>
            <family val="2"/>
          </rPr>
          <t>YAMIR:</t>
        </r>
        <r>
          <rPr>
            <sz val="9"/>
            <color indexed="81"/>
            <rFont val="Tahoma"/>
            <family val="2"/>
          </rPr>
          <t xml:space="preserve">
Cargo de asdrubal lopez quie esta de encargo de tecnico II a partri del 10/03/25. CARGO DE CT. JAIRO ORTIZ</t>
        </r>
      </text>
    </comment>
    <comment ref="S149" authorId="0" shapeId="0" xr:uid="{A4155E29-AB32-4502-9659-664A2321949F}">
      <text>
        <r>
          <rPr>
            <b/>
            <sz val="8"/>
            <color indexed="81"/>
            <rFont val="Tahoma"/>
            <family val="2"/>
          </rPr>
          <t>Yamir Adrian Gomez:</t>
        </r>
        <r>
          <rPr>
            <sz val="8"/>
            <color indexed="81"/>
            <rFont val="Tahoma"/>
            <family val="2"/>
          </rPr>
          <t xml:space="preserve">
BACHILLER TECNICO INDUSTRIAL ELECTRICISTA. CURSO DE ELECTRICIDAD SENA</t>
        </r>
      </text>
    </comment>
    <comment ref="S150" authorId="0" shapeId="0" xr:uid="{107A7A5E-2DA3-4A1E-990D-FDC0B94CF222}">
      <text>
        <r>
          <rPr>
            <b/>
            <sz val="8"/>
            <color indexed="81"/>
            <rFont val="Tahoma"/>
            <family val="2"/>
          </rPr>
          <t>Yamir Adrian Gomez:</t>
        </r>
        <r>
          <rPr>
            <sz val="8"/>
            <color indexed="81"/>
            <rFont val="Tahoma"/>
            <family val="2"/>
          </rPr>
          <t xml:space="preserve">
TECNICO ELECTRICISTA, CURSO AVANZADO  TRABAJO SEGURO EN ALTURAS, CURSO DE PODA Y TALA DE ARBOLES URBANOS</t>
        </r>
      </text>
    </comment>
    <comment ref="S151" authorId="0" shapeId="0" xr:uid="{03D9F628-AF75-4E06-970D-F97261C1CD41}">
      <text>
        <r>
          <rPr>
            <b/>
            <sz val="8"/>
            <color indexed="81"/>
            <rFont val="Tahoma"/>
            <family val="2"/>
          </rPr>
          <t>Yamir Adrian Gomez:</t>
        </r>
        <r>
          <rPr>
            <sz val="8"/>
            <color indexed="81"/>
            <rFont val="Tahoma"/>
            <family val="2"/>
          </rPr>
          <t xml:space="preserve">
MATRICULA  PROFECIONAL DE TECNICO ELECTRICISTA, CURSO DE FORMACION TRABAJO SEGURO EN ALTURAS </t>
        </r>
      </text>
    </comment>
    <comment ref="C152" authorId="0" shapeId="0" xr:uid="{0F899240-9C3F-49B6-A035-C4179827CA9E}">
      <text>
        <r>
          <rPr>
            <b/>
            <sz val="9"/>
            <color indexed="81"/>
            <rFont val="Tahoma"/>
            <family val="2"/>
          </rPr>
          <t>Yamir Adrian Gomez:</t>
        </r>
        <r>
          <rPr>
            <sz val="9"/>
            <color indexed="81"/>
            <rFont val="Tahoma"/>
            <family val="2"/>
          </rPr>
          <t xml:space="preserve">
Cargo de raul onofre quien paso a tenico II (encargo) a partir del 16/02/25. ASCENSO A PARTIR DEL 01/01/26</t>
        </r>
      </text>
    </comment>
    <comment ref="C153" authorId="0" shapeId="0" xr:uid="{538290D1-D09C-427B-921F-506576F89747}">
      <text>
        <r>
          <rPr>
            <b/>
            <sz val="9"/>
            <color indexed="81"/>
            <rFont val="Tahoma"/>
            <family val="2"/>
          </rPr>
          <t>Yamir Adrian Gomez:</t>
        </r>
        <r>
          <rPr>
            <sz val="9"/>
            <color indexed="81"/>
            <rFont val="Tahoma"/>
            <family val="2"/>
          </rPr>
          <t xml:space="preserve">
caRGO DE JUAN PABLO BEDOYA QUIEN ASCENDIO A TECNICO II</t>
        </r>
      </text>
    </comment>
    <comment ref="S153" authorId="0" shapeId="0" xr:uid="{8CC3C3D4-B3C9-490F-A0EB-DB9FD68B467A}">
      <text>
        <r>
          <rPr>
            <b/>
            <sz val="8"/>
            <color indexed="81"/>
            <rFont val="Tahoma"/>
            <family val="2"/>
          </rPr>
          <t>Yamir Adrian Gomez:</t>
        </r>
        <r>
          <rPr>
            <sz val="8"/>
            <color indexed="81"/>
            <rFont val="Tahoma"/>
            <family val="2"/>
          </rPr>
          <t xml:space="preserve">
BACHILLER ACADEMICO</t>
        </r>
      </text>
    </comment>
    <comment ref="C154" authorId="0" shapeId="0" xr:uid="{8B89B29B-089F-401E-830E-F89CF47A02FF}">
      <text>
        <r>
          <rPr>
            <b/>
            <sz val="9"/>
            <color indexed="81"/>
            <rFont val="Tahoma"/>
            <family val="2"/>
          </rPr>
          <t>Yamir Adrian Gomez:</t>
        </r>
        <r>
          <rPr>
            <sz val="9"/>
            <color indexed="81"/>
            <rFont val="Tahoma"/>
            <family val="2"/>
          </rPr>
          <t xml:space="preserve">
Cargo descongelado en nov/24. COM FUN TALLER INDUSTRIAL</t>
        </r>
      </text>
    </comment>
    <comment ref="S154" authorId="0" shapeId="0" xr:uid="{0F3E25A9-3DC8-4A17-BCE7-99F83C2D83BB}">
      <text>
        <r>
          <rPr>
            <b/>
            <sz val="8"/>
            <color indexed="81"/>
            <rFont val="Tahoma"/>
            <family val="2"/>
          </rPr>
          <t>Yamir Adrian Gomez:</t>
        </r>
        <r>
          <rPr>
            <sz val="8"/>
            <color indexed="81"/>
            <rFont val="Tahoma"/>
            <family val="2"/>
          </rPr>
          <t xml:space="preserve">
MECANICO GENERAL. TECNICO EN MANTENIMIENTO INDUSTRIAL, TORNERO, SOLDADOR, FRESADOR</t>
        </r>
      </text>
    </comment>
    <comment ref="S155" authorId="0" shapeId="0" xr:uid="{73556BB1-A2BA-442E-9FFE-79CDE0424949}">
      <text>
        <r>
          <rPr>
            <b/>
            <sz val="8"/>
            <color indexed="81"/>
            <rFont val="Tahoma"/>
            <family val="2"/>
          </rPr>
          <t>Yamir Adrian Gomez:</t>
        </r>
        <r>
          <rPr>
            <sz val="8"/>
            <color indexed="81"/>
            <rFont val="Tahoma"/>
            <family val="2"/>
          </rPr>
          <t xml:space="preserve">
CRSO DE REDES ELECTRICAS</t>
        </r>
      </text>
    </comment>
    <comment ref="S156" authorId="0" shapeId="0" xr:uid="{197CBE46-D0DE-4210-9467-FC7F763B8F5B}">
      <text>
        <r>
          <rPr>
            <b/>
            <sz val="8"/>
            <color indexed="81"/>
            <rFont val="Tahoma"/>
            <family val="2"/>
          </rPr>
          <t>Yamir Adrian Gomez:</t>
        </r>
        <r>
          <rPr>
            <sz val="8"/>
            <color indexed="81"/>
            <rFont val="Tahoma"/>
            <family val="2"/>
          </rPr>
          <t xml:space="preserve">
TECNICO ELECTRICISTA, 3 AÑOS DE SECUNDARIA PODA Y TALA DE ARBOLES URBANOS.</t>
        </r>
      </text>
    </comment>
    <comment ref="C157" authorId="0" shapeId="0" xr:uid="{01801136-88E3-4691-96D8-C8601F812689}">
      <text>
        <r>
          <rPr>
            <b/>
            <sz val="9"/>
            <color indexed="81"/>
            <rFont val="Tahoma"/>
            <family val="2"/>
          </rPr>
          <t>Yamir Adrian Gomez:</t>
        </r>
        <r>
          <rPr>
            <sz val="9"/>
            <color indexed="81"/>
            <rFont val="Tahoma"/>
            <family val="2"/>
          </rPr>
          <t xml:space="preserve">
CARGO DE FRANCO SOLARTE QUIEN RENUNCIO A SU CARGO A PARTIR DEL 01/07/26.</t>
        </r>
      </text>
    </comment>
    <comment ref="S157" authorId="0" shapeId="0" xr:uid="{BCCBF0B9-FBEA-41EB-96CC-E8759525A627}">
      <text>
        <r>
          <rPr>
            <b/>
            <sz val="8"/>
            <color indexed="81"/>
            <rFont val="Tahoma"/>
            <family val="2"/>
          </rPr>
          <t>Yamir Adrian Gomez:</t>
        </r>
        <r>
          <rPr>
            <sz val="8"/>
            <color indexed="81"/>
            <rFont val="Tahoma"/>
            <family val="2"/>
          </rPr>
          <t xml:space="preserve">
TECNICO ELECTRICISTA, 4 AÑOS DE SECUNDARIA</t>
        </r>
      </text>
    </comment>
    <comment ref="C158" authorId="0" shapeId="0" xr:uid="{F0D2F34C-512B-42B1-8137-EF0C6BFC25AE}">
      <text>
        <r>
          <rPr>
            <b/>
            <sz val="9"/>
            <color indexed="81"/>
            <rFont val="Tahoma"/>
            <family val="2"/>
          </rPr>
          <t>Yamir Adrian Gomez:</t>
        </r>
        <r>
          <rPr>
            <sz val="9"/>
            <color indexed="81"/>
            <rFont val="Tahoma"/>
            <family val="2"/>
          </rPr>
          <t xml:space="preserve">
Cargo de Wilson Siverman quien ascendio a Tec III</t>
        </r>
      </text>
    </comment>
    <comment ref="S158" authorId="0" shapeId="0" xr:uid="{B5165A32-8552-4F39-9438-6F47720B82F2}">
      <text>
        <r>
          <rPr>
            <b/>
            <sz val="8"/>
            <color indexed="81"/>
            <rFont val="Tahoma"/>
            <family val="2"/>
          </rPr>
          <t>Yamir Adrian Gomez:</t>
        </r>
        <r>
          <rPr>
            <sz val="8"/>
            <color indexed="81"/>
            <rFont val="Tahoma"/>
            <family val="2"/>
          </rPr>
          <t xml:space="preserve">
BACHILLER ACADEMICO, PRACTICA EN SEGURIDAD INDUSTRIAL Y SALUD OCUPACIONAL.</t>
        </r>
      </text>
    </comment>
    <comment ref="C159" authorId="0" shapeId="0" xr:uid="{FC993D39-1E8A-40C6-A986-915A56ABF61A}">
      <text>
        <r>
          <rPr>
            <b/>
            <sz val="9"/>
            <color indexed="81"/>
            <rFont val="Tahoma"/>
            <family val="2"/>
          </rPr>
          <t>Yamir Adrian Gomez:</t>
        </r>
        <r>
          <rPr>
            <sz val="9"/>
            <color indexed="81"/>
            <rFont val="Tahoma"/>
            <family val="2"/>
          </rPr>
          <t xml:space="preserve">
Cargo de jairo ortiz quien paso de encargo como inst lect (asdrubal). FUNCIONES ADMINISTRATIVAS
</t>
        </r>
      </text>
    </comment>
    <comment ref="S159" authorId="0" shapeId="0" xr:uid="{32F36345-F8DA-425E-9F38-8BECE73056B1}">
      <text>
        <r>
          <rPr>
            <b/>
            <sz val="8"/>
            <color indexed="81"/>
            <rFont val="Tahoma"/>
            <family val="2"/>
          </rPr>
          <t>Yamir Adrian Gomez:</t>
        </r>
        <r>
          <rPr>
            <sz val="8"/>
            <color indexed="81"/>
            <rFont val="Tahoma"/>
            <family val="2"/>
          </rPr>
          <t xml:space="preserve">
BACHILLER ACADEMICO, PODA Y TALA DE ARBOLES URBANOS</t>
        </r>
      </text>
    </comment>
    <comment ref="S160" authorId="0" shapeId="0" xr:uid="{BA5F8BA6-4238-4950-8B12-6AA909DF8A6B}">
      <text>
        <r>
          <rPr>
            <b/>
            <sz val="8"/>
            <color indexed="81"/>
            <rFont val="Tahoma"/>
            <family val="2"/>
          </rPr>
          <t>Yamir Adrian Gomez:</t>
        </r>
        <r>
          <rPr>
            <sz val="8"/>
            <color indexed="81"/>
            <rFont val="Tahoma"/>
            <family val="2"/>
          </rPr>
          <t xml:space="preserve">
BACHILLER. TECNICO ELECTRICISTA, FORMACION AVANZADO TRABAJO SEGURO EN ALTURAS</t>
        </r>
      </text>
    </comment>
    <comment ref="S161" authorId="1" shapeId="0" xr:uid="{20372032-09DF-4A64-8A42-B42A09792910}">
      <text>
        <r>
          <rPr>
            <b/>
            <sz val="9"/>
            <color indexed="81"/>
            <rFont val="Tahoma"/>
            <family val="2"/>
          </rPr>
          <t>YAMIR GOMEZ:</t>
        </r>
        <r>
          <rPr>
            <sz val="9"/>
            <color indexed="81"/>
            <rFont val="Tahoma"/>
            <family val="2"/>
          </rPr>
          <t xml:space="preserve">
BACHIULLER</t>
        </r>
      </text>
    </comment>
    <comment ref="C162" authorId="0" shapeId="0" xr:uid="{B8FFAA5E-8ACA-43F9-8FC8-2B7A50C6EF67}">
      <text>
        <r>
          <rPr>
            <b/>
            <sz val="9"/>
            <color indexed="81"/>
            <rFont val="Tahoma"/>
            <family val="2"/>
          </rPr>
          <t>Yamir Adrian Gomez:CARGO QUE DEJO DANNY PEREZ</t>
        </r>
      </text>
    </comment>
    <comment ref="C163" authorId="0" shapeId="0" xr:uid="{94D67226-A5F4-475D-98CE-565967C3E5A3}">
      <text>
        <r>
          <rPr>
            <b/>
            <sz val="8"/>
            <color indexed="81"/>
            <rFont val="Tahoma"/>
            <family val="2"/>
          </rPr>
          <t>Yamir Adrian Gomez:</t>
        </r>
        <r>
          <rPr>
            <sz val="8"/>
            <color indexed="81"/>
            <rFont val="Tahoma"/>
            <family val="2"/>
          </rPr>
          <t xml:space="preserve">
EL CARGO DE EDUWIN ES  RECAUDADOR INSTALADOR(SAPUYES),AHORA ESTA EN ENCARGO DE LINIERO I (BYRON GOMEZ).|</t>
        </r>
      </text>
    </comment>
    <comment ref="S163" authorId="0" shapeId="0" xr:uid="{AFC5EDB4-974F-4C7D-830A-8F2B1EEE1675}">
      <text>
        <r>
          <rPr>
            <b/>
            <sz val="8"/>
            <color indexed="81"/>
            <rFont val="Tahoma"/>
            <family val="2"/>
          </rPr>
          <t>Yamir Adrian Gomez:</t>
        </r>
        <r>
          <rPr>
            <sz val="8"/>
            <color indexed="81"/>
            <rFont val="Tahoma"/>
            <family val="2"/>
          </rPr>
          <t xml:space="preserve">
INFORMATICA BASICA, CURSO INTERMEDIARIO TRABAJO SEGURO EN ALTURAS, ADMINISTRADOR DE EMPRESAS Y NEGOSIOS INTERNACIONALES, DIPLOMADO EN COMERCIO Y NEGOSIOS INTERNACIONALES,TECNOLOGO EN ADMINISTRACION FINANCIERA, PROGRAMACION DE COMPUTADORES Y ELECTRONICA, CURSO </t>
        </r>
      </text>
    </comment>
    <comment ref="D164" authorId="0" shapeId="0" xr:uid="{B90E4F16-E06F-4D1F-8220-26CB231FD02A}">
      <text>
        <r>
          <rPr>
            <b/>
            <sz val="8"/>
            <color indexed="81"/>
            <rFont val="Tahoma"/>
            <family val="2"/>
          </rPr>
          <t>Yamir Adrian Gomez:</t>
        </r>
        <r>
          <rPr>
            <sz val="8"/>
            <color indexed="81"/>
            <rFont val="Tahoma"/>
            <family val="2"/>
          </rPr>
          <t xml:space="preserve">
COM. MANTENIMIENTO</t>
        </r>
      </text>
    </comment>
    <comment ref="S164" authorId="0" shapeId="0" xr:uid="{7458AF61-B9B0-44E7-9AD2-7EC84EDA1D44}">
      <text>
        <r>
          <rPr>
            <b/>
            <sz val="8"/>
            <color indexed="81"/>
            <rFont val="Tahoma"/>
            <family val="2"/>
          </rPr>
          <t>Yamir Adrian Gomez:</t>
        </r>
        <r>
          <rPr>
            <sz val="8"/>
            <color indexed="81"/>
            <rFont val="Tahoma"/>
            <family val="2"/>
          </rPr>
          <t xml:space="preserve">
CURSO DE INSTALACION ELECTICA Y DE REDES</t>
        </r>
      </text>
    </comment>
    <comment ref="C165" authorId="0" shapeId="0" xr:uid="{D0952EA6-20AB-467E-8C3C-2CA5A3858286}">
      <text>
        <r>
          <rPr>
            <b/>
            <sz val="9"/>
            <color indexed="81"/>
            <rFont val="Tahoma"/>
            <family val="2"/>
          </rPr>
          <t>Yamir Adrian Gomez:</t>
        </r>
        <r>
          <rPr>
            <sz val="9"/>
            <color indexed="81"/>
            <rFont val="Tahoma"/>
            <family val="2"/>
          </rPr>
          <t xml:space="preserve">
Cargo de claudio toro quien paso a coord de grupo a partir del 01/12/25.HASTA 30/07/26 ESTUVO JAIRO FAJARDO</t>
        </r>
      </text>
    </comment>
    <comment ref="S165" authorId="0" shapeId="0" xr:uid="{267D5DCC-19CE-46B6-9BBB-0CF7B0BA74C2}">
      <text>
        <r>
          <rPr>
            <b/>
            <sz val="8"/>
            <color indexed="81"/>
            <rFont val="Tahoma"/>
            <family val="2"/>
          </rPr>
          <t>Yamir Adrian Gomez:</t>
        </r>
        <r>
          <rPr>
            <sz val="8"/>
            <color indexed="81"/>
            <rFont val="Tahoma"/>
            <family val="2"/>
          </rPr>
          <t xml:space="preserve">
TECNICO ELECTRICISTA,BACHILLER COMERCIAL. FORMACION AVANZADO TRABAJO SEGURO EN ALTURAS</t>
        </r>
      </text>
    </comment>
    <comment ref="S167" authorId="0" shapeId="0" xr:uid="{4F4C6048-394F-4319-BFE9-CBA8FDA86345}">
      <text>
        <r>
          <rPr>
            <b/>
            <sz val="8"/>
            <color indexed="81"/>
            <rFont val="Tahoma"/>
            <family val="2"/>
          </rPr>
          <t>Yamir Adrian Gomez:</t>
        </r>
        <r>
          <rPr>
            <sz val="8"/>
            <color indexed="81"/>
            <rFont val="Tahoma"/>
            <family val="2"/>
          </rPr>
          <t xml:space="preserve">
TECNICO ELECTRICISTA, CURSOS DE ELECTRONICA</t>
        </r>
      </text>
    </comment>
    <comment ref="C168" authorId="0" shapeId="0" xr:uid="{84A099BA-3367-4DCA-A3EC-BA859F31BA71}">
      <text>
        <r>
          <rPr>
            <b/>
            <sz val="8"/>
            <color indexed="81"/>
            <rFont val="Tahoma"/>
            <family val="2"/>
          </rPr>
          <t>Yamir Adrian Gomez:</t>
        </r>
        <r>
          <rPr>
            <sz val="8"/>
            <color indexed="81"/>
            <rFont val="Tahoma"/>
            <family val="2"/>
          </rPr>
          <t xml:space="preserve">
CARGO DE OSCAR DIAZ QUIEN PASO A LINIERO I A PARTIR DEL 01/02/18.</t>
        </r>
      </text>
    </comment>
    <comment ref="C169" authorId="0" shapeId="0" xr:uid="{67063EF7-174E-457A-8DC1-B44B04C7AEF6}">
      <text>
        <r>
          <rPr>
            <b/>
            <sz val="8"/>
            <color indexed="81"/>
            <rFont val="Tahoma"/>
            <family val="2"/>
          </rPr>
          <t>Yamir Adrian Gomez:</t>
        </r>
        <r>
          <rPr>
            <sz val="8"/>
            <color indexed="81"/>
            <rFont val="Tahoma"/>
            <family val="2"/>
          </rPr>
          <t xml:space="preserve">
cargo de paulo ledesma quien se fue a la cruz</t>
        </r>
      </text>
    </comment>
    <comment ref="C170" authorId="0" shapeId="0" xr:uid="{BBC71D67-0761-45CF-A1A8-10428107BDE9}">
      <text>
        <r>
          <rPr>
            <b/>
            <sz val="9"/>
            <color indexed="81"/>
            <rFont val="Tahoma"/>
            <family val="2"/>
          </rPr>
          <t>Yamir Adrian Gomez:</t>
        </r>
        <r>
          <rPr>
            <sz val="9"/>
            <color indexed="81"/>
            <rFont val="Tahoma"/>
            <family val="2"/>
          </rPr>
          <t xml:space="preserve">
cargo de servio martinez quien paso a liniero I a partir de eero de 2022</t>
        </r>
      </text>
    </comment>
    <comment ref="S170" authorId="0" shapeId="0" xr:uid="{3C86AE71-0E11-4996-B7DA-2C1C83785BBA}">
      <text>
        <r>
          <rPr>
            <b/>
            <sz val="8"/>
            <color indexed="81"/>
            <rFont val="Tahoma"/>
            <family val="2"/>
          </rPr>
          <t>Yamir Adrian Gomez:</t>
        </r>
        <r>
          <rPr>
            <sz val="8"/>
            <color indexed="81"/>
            <rFont val="Tahoma"/>
            <family val="2"/>
          </rPr>
          <t xml:space="preserve">
TECNICO ELECTRICISTA, CURSO AVANZADO  TRABAJO SEGURO EN ALTURAS, CAPACITACION TEORICO/PRACTICA EN SEGURIDAD INDUSTRIAL Y SALUD OCUPACIONAL</t>
        </r>
      </text>
    </comment>
    <comment ref="S173" authorId="1" shapeId="0" xr:uid="{0D349082-56F2-44CD-BF99-825559E462AE}">
      <text>
        <r>
          <rPr>
            <b/>
            <sz val="9"/>
            <color indexed="81"/>
            <rFont val="Tahoma"/>
            <family val="2"/>
          </rPr>
          <t>YAMIR GOMEZ:</t>
        </r>
        <r>
          <rPr>
            <sz val="9"/>
            <color indexed="81"/>
            <rFont val="Tahoma"/>
            <family val="2"/>
          </rPr>
          <t xml:space="preserve">
TECNICO ATENCION CLIENTE SENA</t>
        </r>
      </text>
    </comment>
    <comment ref="C174" authorId="0" shapeId="0" xr:uid="{8D3A02D6-663B-4747-94FC-515CF805561D}">
      <text>
        <r>
          <rPr>
            <b/>
            <sz val="9"/>
            <color indexed="81"/>
            <rFont val="Tahoma"/>
            <family val="2"/>
          </rPr>
          <t>Yamir Adrian Gomez:</t>
        </r>
        <r>
          <rPr>
            <sz val="9"/>
            <color indexed="81"/>
            <rFont val="Tahoma"/>
            <family val="2"/>
          </rPr>
          <t xml:space="preserve">
gabriel ramirez</t>
        </r>
      </text>
    </comment>
    <comment ref="S176" authorId="0" shapeId="0" xr:uid="{ED4B4231-FBAB-464E-A268-A69816E5F4F8}">
      <text>
        <r>
          <rPr>
            <b/>
            <sz val="8"/>
            <color indexed="81"/>
            <rFont val="Tahoma"/>
            <family val="2"/>
          </rPr>
          <t>Yamir Adrian Gomez:</t>
        </r>
        <r>
          <rPr>
            <sz val="8"/>
            <color indexed="81"/>
            <rFont val="Tahoma"/>
            <family val="2"/>
          </rPr>
          <t xml:space="preserve">
TECNICO ELECTRICISTACURSO DE MANTENIMIENTO DE REDES, CAPACITACION SEGURIDAD INDUSTRIAL Y SALUD OCUPACIONAL, TECNICAS DE CONDUCCION DE BUS, 6 SEMESTRES EN LA FACULTAD DE EDUCACION COMERCIO Y CONTADURIA, BACHILLER TECNICO GESTION EMPRESARIAL</t>
        </r>
      </text>
    </comment>
    <comment ref="C177" authorId="1" shapeId="0" xr:uid="{41D3754C-0462-4B27-9CDB-88837FDDCD71}">
      <text>
        <r>
          <rPr>
            <b/>
            <sz val="9"/>
            <color indexed="81"/>
            <rFont val="Tahoma"/>
            <family val="2"/>
          </rPr>
          <t>YAMIR GOMEZ:</t>
        </r>
        <r>
          <rPr>
            <sz val="9"/>
            <color indexed="81"/>
            <rFont val="Tahoma"/>
            <family val="2"/>
          </rPr>
          <t xml:space="preserve">
Cargo DE david guillermo muñoz quien ascendio a Liniero I</t>
        </r>
      </text>
    </comment>
    <comment ref="C179" authorId="0" shapeId="0" xr:uid="{A422FD42-3A1E-42CF-AAB8-B1C69438DB4D}">
      <text>
        <r>
          <rPr>
            <b/>
            <sz val="9"/>
            <color indexed="81"/>
            <rFont val="Tahoma"/>
            <family val="2"/>
          </rPr>
          <t>Yamir Adrian Gomez:</t>
        </r>
        <r>
          <rPr>
            <sz val="9"/>
            <color indexed="81"/>
            <rFont val="Tahoma"/>
            <family val="2"/>
          </rPr>
          <t xml:space="preserve">
CARGO DE CONSUELO BOTINA QUIEN RENUNCIO A PARTIR DEL 10/01/2020</t>
        </r>
      </text>
    </comment>
    <comment ref="C180" authorId="0" shapeId="0" xr:uid="{9E774FFB-297E-4DEA-B7E3-2FD3F58CD013}">
      <text>
        <r>
          <rPr>
            <b/>
            <sz val="9"/>
            <color indexed="81"/>
            <rFont val="Tahoma"/>
            <family val="2"/>
          </rPr>
          <t>Yamir Adrian Gomez:</t>
        </r>
        <r>
          <rPr>
            <sz val="9"/>
            <color indexed="81"/>
            <rFont val="Tahoma"/>
            <family val="2"/>
          </rPr>
          <t xml:space="preserve">
CARGO DE CRISTINA LASSO QUIEN RENUNCIO A PARTIR DEL 01/08/26.</t>
        </r>
      </text>
    </comment>
    <comment ref="S180" authorId="0" shapeId="0" xr:uid="{6847FD1E-EC9A-4988-82C9-7B5FD561179E}">
      <text>
        <r>
          <rPr>
            <b/>
            <sz val="8"/>
            <color indexed="81"/>
            <rFont val="Tahoma"/>
            <family val="2"/>
          </rPr>
          <t>Yamir Adrian Gomez:</t>
        </r>
        <r>
          <rPr>
            <sz val="8"/>
            <color indexed="81"/>
            <rFont val="Tahoma"/>
            <family val="2"/>
          </rPr>
          <t xml:space="preserve">
TECNICO EN PROGRAMACION DE SISTEMAS. SECRETARIA EJECUTIVA. ANALISTA EN PROGRAMADOR DE SISTEMAS</t>
        </r>
      </text>
    </comment>
    <comment ref="C181" authorId="0" shapeId="0" xr:uid="{98143B1C-FBA4-42CA-AB6C-4A6EA1B53FDA}">
      <text>
        <r>
          <rPr>
            <b/>
            <sz val="9"/>
            <color indexed="81"/>
            <rFont val="Tahoma"/>
            <family val="2"/>
          </rPr>
          <t>Yamir Adrian Gomez:</t>
        </r>
        <r>
          <rPr>
            <sz val="9"/>
            <color indexed="81"/>
            <rFont val="Tahoma"/>
            <family val="2"/>
          </rPr>
          <t xml:space="preserve">
CARGO DE HUBER BOLAÑOS QUIEN ESTA DE TEC II. ASCENSO A PARTIR DEL 01/01/26</t>
        </r>
      </text>
    </comment>
    <comment ref="S181" authorId="0" shapeId="0" xr:uid="{739059B9-F4A9-4664-98BB-DA6E1FA89B1B}">
      <text>
        <r>
          <rPr>
            <b/>
            <sz val="8"/>
            <color indexed="81"/>
            <rFont val="Tahoma"/>
            <family val="2"/>
          </rPr>
          <t>Yamir Adrian Gomez:</t>
        </r>
        <r>
          <rPr>
            <sz val="8"/>
            <color indexed="81"/>
            <rFont val="Tahoma"/>
            <family val="2"/>
          </rPr>
          <t xml:space="preserve">
BACHILLER ACADEMICO. TECNICO ELECTRICISTA, CURSOS BASICOS.</t>
        </r>
      </text>
    </comment>
    <comment ref="C182" authorId="0" shapeId="0" xr:uid="{F5BD2B3D-2DA9-42D6-AFCE-00DB74C699FF}">
      <text>
        <r>
          <rPr>
            <b/>
            <sz val="9"/>
            <color indexed="81"/>
            <rFont val="Tahoma"/>
            <family val="2"/>
          </rPr>
          <t>Yamir Adrian Gomez:</t>
        </r>
        <r>
          <rPr>
            <sz val="9"/>
            <color indexed="81"/>
            <rFont val="Tahoma"/>
            <family val="2"/>
          </rPr>
          <t xml:space="preserve">
Cargo de guillermo muñoz. COM FUNC OPERACIONES(MANTENI) DESDE EL 16/02/25.VIENE DE REDES</t>
        </r>
      </text>
    </comment>
    <comment ref="C183" authorId="0" shapeId="0" xr:uid="{31949CCC-23F1-47D0-B4AE-B58B8DE7B668}">
      <text>
        <r>
          <rPr>
            <b/>
            <sz val="9"/>
            <color indexed="81"/>
            <rFont val="Tahoma"/>
            <family val="2"/>
          </rPr>
          <t>Yamir Adrian Gomez:</t>
        </r>
        <r>
          <rPr>
            <sz val="9"/>
            <color indexed="81"/>
            <rFont val="Tahoma"/>
            <family val="2"/>
          </rPr>
          <t xml:space="preserve">
Cargo dewljose luis rodriguez. ASCENSO A PARTIR DEL 01/01/26</t>
        </r>
      </text>
    </comment>
    <comment ref="S183" authorId="0" shapeId="0" xr:uid="{AF826849-ACA5-441C-9D44-AE45B456F3C8}">
      <text>
        <r>
          <rPr>
            <b/>
            <sz val="8"/>
            <color indexed="81"/>
            <rFont val="Tahoma"/>
            <family val="2"/>
          </rPr>
          <t>Yamir Adrian Gomez:</t>
        </r>
        <r>
          <rPr>
            <sz val="8"/>
            <color indexed="81"/>
            <rFont val="Tahoma"/>
            <family val="2"/>
          </rPr>
          <t xml:space="preserve">
TECNICO ELECTRICISTA. TECNICO PROFESIONAL EN ADMINISTRACION DEL RECURSO HUMANO. GESTION BASICA EN SISTEMAS</t>
        </r>
      </text>
    </comment>
    <comment ref="C184" authorId="0" shapeId="0" xr:uid="{EE63A5C2-BCAF-4AE0-9CBD-9B48809E4815}">
      <text>
        <r>
          <rPr>
            <b/>
            <sz val="9"/>
            <color indexed="81"/>
            <rFont val="Tahoma"/>
            <family val="2"/>
          </rPr>
          <t>Yamir Adrian Gomez:</t>
        </r>
        <r>
          <rPr>
            <sz val="9"/>
            <color indexed="81"/>
            <rFont val="Tahoma"/>
            <family val="2"/>
          </rPr>
          <t xml:space="preserve">
Cargo de Jaime Ceballos. ASCENSO A PARTIR DEL 01/01/26</t>
        </r>
      </text>
    </comment>
    <comment ref="S184" authorId="0" shapeId="0" xr:uid="{55FE4789-4011-4FA1-8DE8-5819BAC31C06}">
      <text>
        <r>
          <rPr>
            <b/>
            <sz val="8"/>
            <color indexed="81"/>
            <rFont val="Tahoma"/>
            <family val="2"/>
          </rPr>
          <t>Yamir Adrian Gomez:</t>
        </r>
        <r>
          <rPr>
            <sz val="8"/>
            <color indexed="81"/>
            <rFont val="Tahoma"/>
            <family val="2"/>
          </rPr>
          <t xml:space="preserve">
TECNICO ELECTRICISTA</t>
        </r>
      </text>
    </comment>
    <comment ref="C185" authorId="0" shapeId="0" xr:uid="{4499D595-FDB1-48F9-B731-4B18D1A2ED53}">
      <text>
        <r>
          <rPr>
            <b/>
            <sz val="9"/>
            <color indexed="81"/>
            <rFont val="Tahoma"/>
            <family val="2"/>
          </rPr>
          <t>Yamir Adrian Gomez:</t>
        </r>
        <r>
          <rPr>
            <sz val="9"/>
            <color indexed="81"/>
            <rFont val="Tahoma"/>
            <family val="2"/>
          </rPr>
          <t xml:space="preserve">
Cargo de mario azahin quien paso a PI. ASCENSO A PARTIR DEL 01/01/26
</t>
        </r>
      </text>
    </comment>
    <comment ref="S185" authorId="0" shapeId="0" xr:uid="{9918C0AD-FFE9-4833-898B-C1586AE13096}">
      <text>
        <r>
          <rPr>
            <b/>
            <sz val="8"/>
            <color indexed="81"/>
            <rFont val="Tahoma"/>
            <family val="2"/>
          </rPr>
          <t>Yamir Adrian Gomez:</t>
        </r>
        <r>
          <rPr>
            <sz val="8"/>
            <color indexed="81"/>
            <rFont val="Tahoma"/>
            <family val="2"/>
          </rPr>
          <t xml:space="preserve">
TECNICO EN MANTENIMIENTO INDUSTRIAL, INSTALACIONES ELECTRICAS.</t>
        </r>
      </text>
    </comment>
    <comment ref="C186" authorId="0" shapeId="0" xr:uid="{FBFEB711-5A0B-4936-8A84-2BEE6B425F5F}">
      <text>
        <r>
          <rPr>
            <b/>
            <sz val="9"/>
            <color indexed="81"/>
            <rFont val="Tahoma"/>
            <family val="2"/>
          </rPr>
          <t>Yamir Adrian Gomez:</t>
        </r>
        <r>
          <rPr>
            <sz val="9"/>
            <color indexed="81"/>
            <rFont val="Tahoma"/>
            <family val="2"/>
          </rPr>
          <t xml:space="preserve">
Encargo a partri de 06/08/25. Cargo de Henrry Burbano quien fallecio el 15/07/25.ASCENSO A PARTIR DEL 01/01/26</t>
        </r>
      </text>
    </comment>
    <comment ref="S186" authorId="0" shapeId="0" xr:uid="{89C8A8E8-99A2-4864-AB65-D216ED07A20F}">
      <text>
        <r>
          <rPr>
            <b/>
            <sz val="8"/>
            <color indexed="81"/>
            <rFont val="Tahoma"/>
            <family val="2"/>
          </rPr>
          <t>Yamir Adrian Gomez:</t>
        </r>
        <r>
          <rPr>
            <sz val="8"/>
            <color indexed="81"/>
            <rFont val="Tahoma"/>
            <family val="2"/>
          </rPr>
          <t xml:space="preserve">
BACHILLER ACADEMICO</t>
        </r>
      </text>
    </comment>
    <comment ref="S187" authorId="0" shapeId="0" xr:uid="{1BAAD9A4-FA24-4FFA-84BA-751B40FCFEBB}">
      <text>
        <r>
          <rPr>
            <b/>
            <sz val="8"/>
            <color indexed="81"/>
            <rFont val="Tahoma"/>
            <family val="2"/>
          </rPr>
          <t>Yamir Adrian Gomez:</t>
        </r>
        <r>
          <rPr>
            <sz val="8"/>
            <color indexed="81"/>
            <rFont val="Tahoma"/>
            <family val="2"/>
          </rPr>
          <t xml:space="preserve">
BACHILLER TECNICO ELECTRICISTA. TECNICO MECANICO INDUSTRIAL</t>
        </r>
      </text>
    </comment>
    <comment ref="C188" authorId="0" shapeId="0" xr:uid="{2C547A48-1E3E-4AD8-8C0A-091FE3024A11}">
      <text>
        <r>
          <rPr>
            <b/>
            <sz val="9"/>
            <color indexed="81"/>
            <rFont val="Tahoma"/>
            <family val="2"/>
          </rPr>
          <t>Yamir Adrian Gomez:</t>
        </r>
        <r>
          <rPr>
            <sz val="9"/>
            <color indexed="81"/>
            <rFont val="Tahoma"/>
            <family val="2"/>
          </rPr>
          <t xml:space="preserve">
CARGO DE GONZALO JOSSA QUIEN RENUNCIO A PARTIR DEL 15/02/25. ASCENSO A PARTIR DEL 01/01/26</t>
        </r>
      </text>
    </comment>
    <comment ref="S188" authorId="0" shapeId="0" xr:uid="{1D7396BD-78F3-4C87-8E00-8E6DA713D5CF}">
      <text>
        <r>
          <rPr>
            <b/>
            <sz val="8"/>
            <color indexed="81"/>
            <rFont val="Tahoma"/>
            <family val="2"/>
          </rPr>
          <t>Yamir Adrian Gomez:</t>
        </r>
        <r>
          <rPr>
            <sz val="8"/>
            <color indexed="81"/>
            <rFont val="Tahoma"/>
            <family val="2"/>
          </rPr>
          <t xml:space="preserve">
TECNICO ELECTRICISTA, FORMACION AVANZADO TRABAJO SEGURO EN ALTURAS</t>
        </r>
      </text>
    </comment>
    <comment ref="S189" authorId="0" shapeId="0" xr:uid="{BCD8C5B0-C4A8-45C8-AE21-15402EA27F9A}">
      <text>
        <r>
          <rPr>
            <b/>
            <sz val="8"/>
            <color indexed="81"/>
            <rFont val="Tahoma"/>
            <family val="2"/>
          </rPr>
          <t>Yamir Adrian Gomez:</t>
        </r>
        <r>
          <rPr>
            <sz val="8"/>
            <color indexed="81"/>
            <rFont val="Tahoma"/>
            <family val="2"/>
          </rPr>
          <t xml:space="preserve">
TECNICO ELECTRICISTA. INFORMATICA BASICA OPERARIO, BASICOS EN OPERACIONES CONTRA INCENDIOS Y RESCATE, FUNDAMENTOS ADMINISTRACION EMPRESARIAL, CONTROL TOTAL DE CALIDAD, DESARROLLO INTERPERSONAL, ATENCION AL CLIENTE, TECNICO DE DIRECCION Y SUPERVISION Y OTROS.</t>
        </r>
      </text>
    </comment>
    <comment ref="C190" authorId="0" shapeId="0" xr:uid="{A98D5423-C14C-435C-9882-F5FBB3D30F5D}">
      <text>
        <r>
          <rPr>
            <b/>
            <sz val="9"/>
            <color indexed="81"/>
            <rFont val="Tahoma"/>
            <family val="2"/>
          </rPr>
          <t>Yamir Adrian Gomez:</t>
        </r>
        <r>
          <rPr>
            <sz val="9"/>
            <color indexed="81"/>
            <rFont val="Tahoma"/>
            <family val="2"/>
          </rPr>
          <t xml:space="preserve">
Cargo de sigifredo Mercha. ASCENSO A PARTIR DEL 01/01/2026</t>
        </r>
      </text>
    </comment>
    <comment ref="S190" authorId="0" shapeId="0" xr:uid="{1D5FCB8A-6ED1-4490-98FA-7B398D63E035}">
      <text>
        <r>
          <rPr>
            <b/>
            <sz val="8"/>
            <color indexed="81"/>
            <rFont val="Tahoma"/>
            <family val="2"/>
          </rPr>
          <t>Yamir Adrian Gomez:</t>
        </r>
        <r>
          <rPr>
            <sz val="8"/>
            <color indexed="81"/>
            <rFont val="Tahoma"/>
            <family val="2"/>
          </rPr>
          <t xml:space="preserve">
ADMINISTRADOR DE EMPRESAS</t>
        </r>
      </text>
    </comment>
    <comment ref="C191" authorId="0" shapeId="0" xr:uid="{5AEF69A4-F9BA-4D3F-A0B8-CE75ADEC503D}">
      <text>
        <r>
          <rPr>
            <b/>
            <sz val="9"/>
            <color indexed="81"/>
            <rFont val="Tahoma"/>
            <family val="2"/>
          </rPr>
          <t>Yamir Adrian Gomez:</t>
        </r>
        <r>
          <rPr>
            <sz val="9"/>
            <color indexed="81"/>
            <rFont val="Tahoma"/>
            <family val="2"/>
          </rPr>
          <t xml:space="preserve">
CARGO DE CESAR ERASO QUIEN RENUNCIO A SU CARGO A PAERTIR DEL 01/07/26.</t>
        </r>
      </text>
    </comment>
    <comment ref="S191" authorId="0" shapeId="0" xr:uid="{2E18E6A8-D4A2-4D3A-81DF-A74C518A5490}">
      <text>
        <r>
          <rPr>
            <b/>
            <sz val="8"/>
            <color indexed="81"/>
            <rFont val="Tahoma"/>
            <family val="2"/>
          </rPr>
          <t>Yamir Adrian Gomez:</t>
        </r>
        <r>
          <rPr>
            <sz val="8"/>
            <color indexed="81"/>
            <rFont val="Tahoma"/>
            <family val="2"/>
          </rPr>
          <t xml:space="preserve">
BACHILLER TECNICO INDUSTRIAL</t>
        </r>
      </text>
    </comment>
    <comment ref="C192" authorId="0" shapeId="0" xr:uid="{1095AC70-B54F-4C4C-937C-A5DF7EADD0AB}">
      <text>
        <r>
          <rPr>
            <b/>
            <sz val="9"/>
            <color indexed="81"/>
            <rFont val="Tahoma"/>
            <family val="2"/>
          </rPr>
          <t>Yamir Adrian Gomez:</t>
        </r>
        <r>
          <rPr>
            <sz val="9"/>
            <color indexed="81"/>
            <rFont val="Tahoma"/>
            <family val="2"/>
          </rPr>
          <t xml:space="preserve">
TALLER TRASNFORMADORES</t>
        </r>
      </text>
    </comment>
    <comment ref="S192" authorId="0" shapeId="0" xr:uid="{E0F14CDD-BECD-42C3-974B-ADB6462F36F7}">
      <text>
        <r>
          <rPr>
            <b/>
            <sz val="8"/>
            <color indexed="81"/>
            <rFont val="Tahoma"/>
            <family val="2"/>
          </rPr>
          <t>Yamir Adrian Gomez:</t>
        </r>
        <r>
          <rPr>
            <sz val="8"/>
            <color indexed="81"/>
            <rFont val="Tahoma"/>
            <family val="2"/>
          </rPr>
          <t xml:space="preserve">
TECNICO EN MANTENIMIENTO AUTOMOTRIZ MOTORES A GASOLINA. TECNICO ELECTRICISTA</t>
        </r>
      </text>
    </comment>
    <comment ref="D193" authorId="0" shapeId="0" xr:uid="{981C6168-436C-4E4E-8BEC-7868B8B85E35}">
      <text>
        <r>
          <rPr>
            <b/>
            <sz val="9"/>
            <color indexed="81"/>
            <rFont val="Tahoma"/>
            <family val="2"/>
          </rPr>
          <t>Yamir Adrian Gomez:</t>
        </r>
        <r>
          <rPr>
            <sz val="9"/>
            <color indexed="81"/>
            <rFont val="Tahoma"/>
            <family val="2"/>
          </rPr>
          <t xml:space="preserve">
CARGO DE MARIO AZAHIN</t>
        </r>
      </text>
    </comment>
    <comment ref="C194" authorId="0" shapeId="0" xr:uid="{24F590AA-F4FB-4CC5-AC2F-13DC2B75106B}">
      <text>
        <r>
          <rPr>
            <b/>
            <sz val="9"/>
            <color indexed="81"/>
            <rFont val="Tahoma"/>
            <family val="2"/>
          </rPr>
          <t>Yamir Adrian Gomez:</t>
        </r>
        <r>
          <rPr>
            <sz val="9"/>
            <color indexed="81"/>
            <rFont val="Tahoma"/>
            <family val="2"/>
          </rPr>
          <t xml:space="preserve">
Cargo de william flores. Ascenso a partri del 01/01/2026</t>
        </r>
      </text>
    </comment>
    <comment ref="S194" authorId="0" shapeId="0" xr:uid="{03601A50-51E0-434C-9BA1-918949FAAA80}">
      <text>
        <r>
          <rPr>
            <b/>
            <sz val="8"/>
            <color indexed="81"/>
            <rFont val="Tahoma"/>
            <family val="2"/>
          </rPr>
          <t>Yamir Adrian Gomez:</t>
        </r>
        <r>
          <rPr>
            <sz val="8"/>
            <color indexed="81"/>
            <rFont val="Tahoma"/>
            <family val="2"/>
          </rPr>
          <t xml:space="preserve">
BACHILLER TECNICO INDUSTRIAL</t>
        </r>
      </text>
    </comment>
    <comment ref="S196" authorId="0" shapeId="0" xr:uid="{C58CCF47-EE3D-4431-9AA0-AFA6918C598D}">
      <text>
        <r>
          <rPr>
            <b/>
            <sz val="8"/>
            <color indexed="81"/>
            <rFont val="Tahoma"/>
            <family val="2"/>
          </rPr>
          <t>Yamir Adrian Gomez:</t>
        </r>
        <r>
          <rPr>
            <sz val="8"/>
            <color indexed="81"/>
            <rFont val="Tahoma"/>
            <family val="2"/>
          </rPr>
          <t xml:space="preserve">
TECNICO ELCETRICISTA,BACHILLER ACADEMICO, MATRICULA PROFESIONAL DE TECNICO ELECTRICISTA,CURSO DE PODA Y TALA DE ARBOLES URBANOS</t>
        </r>
      </text>
    </comment>
    <comment ref="S197" authorId="0" shapeId="0" xr:uid="{118C95D8-BF6F-49B7-B203-0D841387EEDF}">
      <text>
        <r>
          <rPr>
            <b/>
            <sz val="8"/>
            <color indexed="81"/>
            <rFont val="Tahoma"/>
            <family val="2"/>
          </rPr>
          <t>Yamir Adrian Gomez:</t>
        </r>
        <r>
          <rPr>
            <sz val="8"/>
            <color indexed="81"/>
            <rFont val="Tahoma"/>
            <family val="2"/>
          </rPr>
          <t xml:space="preserve">
INGENIERIA MECANICA, DIPLOMADO MULTIMEDIA E INTERNET, DIALOGO DE GESTIONES, CREACION DE EMPRESAS</t>
        </r>
      </text>
    </comment>
    <comment ref="S199" authorId="0" shapeId="0" xr:uid="{C195AD15-9263-4EA7-A4F2-B55C12E0014F}">
      <text>
        <r>
          <rPr>
            <b/>
            <sz val="8"/>
            <color indexed="81"/>
            <rFont val="Tahoma"/>
            <family val="2"/>
          </rPr>
          <t>Yamir Adrian Gomez:</t>
        </r>
        <r>
          <rPr>
            <sz val="8"/>
            <color indexed="81"/>
            <rFont val="Tahoma"/>
            <family val="2"/>
          </rPr>
          <t xml:space="preserve">
TECNICO ELECTRICISTA, FORMACION AVANZADO TRABAJO SEGURO EN ALTURAS, CURSO DE PODA Y TALA DE ARBOLES</t>
        </r>
      </text>
    </comment>
    <comment ref="C200" authorId="3" shapeId="0" xr:uid="{7DFBC2E7-AA60-459A-802B-1E434100B7B8}">
      <text>
        <r>
          <rPr>
            <b/>
            <sz val="11"/>
            <color indexed="81"/>
            <rFont val="Tahoma"/>
            <family val="2"/>
          </rPr>
          <t>Laura Bastidas:</t>
        </r>
        <r>
          <rPr>
            <sz val="11"/>
            <color indexed="81"/>
            <rFont val="Tahoma"/>
            <family val="2"/>
          </rPr>
          <t xml:space="preserve">
Cargo de oscar cruces quien paso a encargo como opera subes en catambuco  desde 20/03/26.</t>
        </r>
      </text>
    </comment>
    <comment ref="S200" authorId="0" shapeId="0" xr:uid="{017342F7-2817-4F16-B1E0-EE7EE0E59050}">
      <text>
        <r>
          <rPr>
            <b/>
            <sz val="8"/>
            <color indexed="81"/>
            <rFont val="Tahoma"/>
            <family val="2"/>
          </rPr>
          <t>Yamir Adrian Gomez:</t>
        </r>
        <r>
          <rPr>
            <sz val="8"/>
            <color indexed="81"/>
            <rFont val="Tahoma"/>
            <family val="2"/>
          </rPr>
          <t xml:space="preserve">
TECNICO ELECTRICISTA, TECNICO PROFESIONAL EN GESTION DE RECURSOS NATURALES, BACHILLER ACADEMICO, MODULO DE FORMACION EN MICROCUENCAS, FORMACION EN INFORMATICA BASICA, SEMINARIO TALLER EQUIPOS PUESTA A TIERRA, </t>
        </r>
      </text>
    </comment>
    <comment ref="S201" authorId="0" shapeId="0" xr:uid="{8FB92383-A17D-4E01-A968-A858EECA8ECD}">
      <text>
        <r>
          <rPr>
            <b/>
            <sz val="8"/>
            <color indexed="81"/>
            <rFont val="Tahoma"/>
            <family val="2"/>
          </rPr>
          <t>Yamir Adrian Gomez:</t>
        </r>
        <r>
          <rPr>
            <sz val="8"/>
            <color indexed="81"/>
            <rFont val="Tahoma"/>
            <family val="2"/>
          </rPr>
          <t xml:space="preserve">
CURSO DE ATENCION EN METODOLOGIAS PARA EL ANALISIS FINANCIERO EMPRESARIAL, AUDITORIAS INTERNAS DE CALIDAD, CURSO DE ADMINISTRACION DEL TALENTO HUMANO, CURSO DE SERVICIO AL CLIENTE, CURSO DE DISEÑO EN PAGINA WEB DREAMWAVER, CURSO DE INSTALACIONES ELECTRICAS DOMOCILIARIAS, CURSO DE VISION EMPRESARIAL, AUXILIAR EN SISTEMAS,TECNICO EN INSTALACIONES ELECTRICAS RESIDENCIALES</t>
        </r>
      </text>
    </comment>
    <comment ref="C202" authorId="0" shapeId="0" xr:uid="{40DE8DDE-8E70-4B23-8652-01DA45B4ECDC}">
      <text>
        <r>
          <rPr>
            <b/>
            <sz val="9"/>
            <color indexed="81"/>
            <rFont val="Tahoma"/>
            <family val="2"/>
          </rPr>
          <t>Yamir Adrian Gomez:</t>
        </r>
        <r>
          <rPr>
            <sz val="9"/>
            <color indexed="81"/>
            <rFont val="Tahoma"/>
            <family val="2"/>
          </rPr>
          <t xml:space="preserve">
COM FUN CLC DESDE EL 02/02/25. VIENE DE CENTRO TECNICO</t>
        </r>
      </text>
    </comment>
    <comment ref="S202" authorId="0" shapeId="0" xr:uid="{81D9CA8C-B44A-4D5C-86BE-292ECCC60BC6}">
      <text>
        <r>
          <rPr>
            <b/>
            <sz val="8"/>
            <color indexed="81"/>
            <rFont val="Tahoma"/>
            <family val="2"/>
          </rPr>
          <t>Yamir Adrian Gomez:</t>
        </r>
        <r>
          <rPr>
            <sz val="8"/>
            <color indexed="81"/>
            <rFont val="Tahoma"/>
            <family val="2"/>
          </rPr>
          <t xml:space="preserve">
TRABAJO SEGURO EN ALTURAS, CURSO AUTOCAD 2D, CURSO DE INSTALACION REDES ELECTRICAS,TECNICO ELECTRICISTA. INGENIERO DE SISTEMAS.</t>
        </r>
      </text>
    </comment>
    <comment ref="S203" authorId="0" shapeId="0" xr:uid="{303C97E0-3429-4452-8D84-DF0657BE2565}">
      <text>
        <r>
          <rPr>
            <b/>
            <sz val="8"/>
            <color indexed="81"/>
            <rFont val="Tahoma"/>
            <family val="2"/>
          </rPr>
          <t>Yamir Adrian Gomez:</t>
        </r>
        <r>
          <rPr>
            <sz val="8"/>
            <color indexed="81"/>
            <rFont val="Tahoma"/>
            <family val="2"/>
          </rPr>
          <t xml:space="preserve">
TECNICO ELECTRICISTA, CURSO TRABAJO SEGURO EN ALTURAS, MANTENIMIENTO DE REDES DESENERGIZADAS,BACHILLER INDUSTRIAL</t>
        </r>
      </text>
    </comment>
    <comment ref="C204" authorId="0" shapeId="0" xr:uid="{86DCE6D2-BEF6-4667-A843-D732EF9379D2}">
      <text>
        <r>
          <rPr>
            <b/>
            <sz val="8"/>
            <color indexed="81"/>
            <rFont val="Tahoma"/>
            <family val="2"/>
          </rPr>
          <t>Yamir Adrian Gomez:</t>
        </r>
        <r>
          <rPr>
            <sz val="8"/>
            <color indexed="81"/>
            <rFont val="Tahoma"/>
            <family val="2"/>
          </rPr>
          <t xml:space="preserve">
CARGO DE CIFUENTES FELIX</t>
        </r>
      </text>
    </comment>
    <comment ref="S205" authorId="0" shapeId="0" xr:uid="{45883BC4-EB91-48BD-BF0B-B77086DCCD55}">
      <text>
        <r>
          <rPr>
            <b/>
            <sz val="8"/>
            <color indexed="81"/>
            <rFont val="Tahoma"/>
            <family val="2"/>
          </rPr>
          <t>Yamir Adrian Gomez:</t>
        </r>
        <r>
          <rPr>
            <sz val="8"/>
            <color indexed="81"/>
            <rFont val="Tahoma"/>
            <family val="2"/>
          </rPr>
          <t xml:space="preserve">
TECNICO ELECTRICISTA, BACHILLER ACADEMICO</t>
        </r>
      </text>
    </comment>
    <comment ref="C206" authorId="0" shapeId="0" xr:uid="{788A08A7-051B-4502-9B24-5F4E5C4589E4}">
      <text>
        <r>
          <rPr>
            <b/>
            <sz val="9"/>
            <color indexed="81"/>
            <rFont val="Tahoma"/>
            <family val="2"/>
          </rPr>
          <t>Yamir Adrian Gomez:</t>
        </r>
        <r>
          <rPr>
            <sz val="9"/>
            <color indexed="81"/>
            <rFont val="Tahoma"/>
            <family val="2"/>
          </rPr>
          <t xml:space="preserve">
Cargo de Carlos rodriguez timana quien renuncio a partir del 16/01/25. Encargo desde 01/12/2025.</t>
        </r>
      </text>
    </comment>
    <comment ref="S206" authorId="0" shapeId="0" xr:uid="{CB410079-CF62-4A88-BE1C-75741D7AA6F2}">
      <text>
        <r>
          <rPr>
            <b/>
            <sz val="8"/>
            <color indexed="81"/>
            <rFont val="Tahoma"/>
            <family val="2"/>
          </rPr>
          <t>Yamir Adrian Gomez:</t>
        </r>
        <r>
          <rPr>
            <sz val="8"/>
            <color indexed="81"/>
            <rFont val="Tahoma"/>
            <family val="2"/>
          </rPr>
          <t xml:space="preserve">
TECNICO ELECTRICISTA,BACHILLER COMERCIAL. FORMACION AVANZADO TRABAJO SEGURO EN ALTURAS</t>
        </r>
      </text>
    </comment>
    <comment ref="S207" authorId="0" shapeId="0" xr:uid="{7C99F0AD-9D77-4F25-8233-39E7575B9D36}">
      <text>
        <r>
          <rPr>
            <b/>
            <sz val="8"/>
            <color indexed="81"/>
            <rFont val="Tahoma"/>
            <family val="2"/>
          </rPr>
          <t>Yamir Adrian Gomez:</t>
        </r>
        <r>
          <rPr>
            <sz val="8"/>
            <color indexed="81"/>
            <rFont val="Tahoma"/>
            <family val="2"/>
          </rPr>
          <t xml:space="preserve">
BACHILLER TECNICO INDUSTRIAL. TECNICO ELECTRICISTA</t>
        </r>
      </text>
    </comment>
    <comment ref="S208" authorId="0" shapeId="0" xr:uid="{22742579-1AE2-450A-8E75-3020B6DDF441}">
      <text>
        <r>
          <rPr>
            <b/>
            <sz val="8"/>
            <color indexed="81"/>
            <rFont val="Tahoma"/>
            <family val="2"/>
          </rPr>
          <t>Yamir Adrian Gomez:</t>
        </r>
        <r>
          <rPr>
            <sz val="8"/>
            <color indexed="81"/>
            <rFont val="Tahoma"/>
            <family val="2"/>
          </rPr>
          <t xml:space="preserve">
TECNICO ELECTRICISTA, TRABAJO SEGURO EN ALTURAS, CURSOS BASICOS.</t>
        </r>
      </text>
    </comment>
    <comment ref="C209" authorId="0" shapeId="0" xr:uid="{AFF7BA30-B457-4A41-9131-57A5CD928A7A}">
      <text>
        <r>
          <rPr>
            <b/>
            <sz val="9"/>
            <color indexed="81"/>
            <rFont val="Tahoma"/>
            <family val="2"/>
          </rPr>
          <t>Yamir Adrian Gomez:</t>
        </r>
        <r>
          <rPr>
            <sz val="9"/>
            <color indexed="81"/>
            <rFont val="Tahoma"/>
            <family val="2"/>
          </rPr>
          <t xml:space="preserve">
CARGO DE EDUWIN CEBALOLOS QUIEN FALLCIO EL 10/06/26.</t>
        </r>
      </text>
    </comment>
    <comment ref="S210" authorId="0" shapeId="0" xr:uid="{A8FC0AD8-9499-450D-B512-33AB954D0F89}">
      <text>
        <r>
          <rPr>
            <b/>
            <sz val="8"/>
            <color indexed="81"/>
            <rFont val="Tahoma"/>
            <family val="2"/>
          </rPr>
          <t>Yamir Adrian Gomez:</t>
        </r>
        <r>
          <rPr>
            <sz val="8"/>
            <color indexed="81"/>
            <rFont val="Tahoma"/>
            <family val="2"/>
          </rPr>
          <t xml:space="preserve">
BACHILLER. CURSOS SENA ELECTRICISTA, INSTALADOR, MANTENIMIENTO.</t>
        </r>
      </text>
    </comment>
    <comment ref="S211" authorId="0" shapeId="0" xr:uid="{46E88CDB-8927-4555-93DD-A9A0C4D73CDA}">
      <text>
        <r>
          <rPr>
            <b/>
            <sz val="8"/>
            <color indexed="81"/>
            <rFont val="Tahoma"/>
            <family val="2"/>
          </rPr>
          <t>Yamir Adrian Gomez:</t>
        </r>
        <r>
          <rPr>
            <sz val="8"/>
            <color indexed="81"/>
            <rFont val="Tahoma"/>
            <family val="2"/>
          </rPr>
          <t xml:space="preserve">
TECNICO ELECTRICISTA, BACHILLER </t>
        </r>
      </text>
    </comment>
    <comment ref="C213" authorId="0" shapeId="0" xr:uid="{3CE94006-956D-4CCC-B5E4-D41C528FE417}">
      <text>
        <r>
          <rPr>
            <b/>
            <sz val="9"/>
            <color indexed="81"/>
            <rFont val="Tahoma"/>
            <family val="2"/>
          </rPr>
          <t>Yamir Adrian Gomez:</t>
        </r>
        <r>
          <rPr>
            <sz val="9"/>
            <color indexed="81"/>
            <rFont val="Tahoma"/>
            <family val="2"/>
          </rPr>
          <t xml:space="preserve">
cargo de wilson bolaños</t>
        </r>
      </text>
    </comment>
    <comment ref="F213" authorId="0" shapeId="0" xr:uid="{CDE7F6DC-32CA-41FB-B3A9-FB7AD452E2E4}">
      <text>
        <r>
          <rPr>
            <b/>
            <sz val="9"/>
            <color indexed="81"/>
            <rFont val="Tahoma"/>
            <family val="2"/>
          </rPr>
          <t>Yamir Adrian Gomez:</t>
        </r>
        <r>
          <rPr>
            <sz val="9"/>
            <color indexed="81"/>
            <rFont val="Tahoma"/>
            <family val="2"/>
          </rPr>
          <t xml:space="preserve">
COM FUNC SUB EST JAMN DESDE 16/06/26.</t>
        </r>
      </text>
    </comment>
    <comment ref="S213" authorId="0" shapeId="0" xr:uid="{125385A4-9401-4333-A287-DA2FAB1EE6CB}">
      <text>
        <r>
          <rPr>
            <b/>
            <sz val="8"/>
            <color indexed="81"/>
            <rFont val="Tahoma"/>
            <family val="2"/>
          </rPr>
          <t>Yamir Adrian Gomez:</t>
        </r>
        <r>
          <rPr>
            <sz val="8"/>
            <color indexed="81"/>
            <rFont val="Tahoma"/>
            <family val="2"/>
          </rPr>
          <t xml:space="preserve">
TECNOLOGO EN ADMINISTRACION FINANCIERA.TECNICO ELECTRICISTA,   2 SEMESTRES DE TECNICO EN PROCEDIMIENTO JUDICIAL</t>
        </r>
      </text>
    </comment>
    <comment ref="S214" authorId="0" shapeId="0" xr:uid="{7A9D6303-6FDC-4687-9BB4-7E0CD2BABD43}">
      <text>
        <r>
          <rPr>
            <b/>
            <sz val="8"/>
            <color indexed="81"/>
            <rFont val="Tahoma"/>
            <family val="2"/>
          </rPr>
          <t>Yamir Adrian Gomez:</t>
        </r>
        <r>
          <rPr>
            <sz val="8"/>
            <color indexed="81"/>
            <rFont val="Tahoma"/>
            <family val="2"/>
          </rPr>
          <t xml:space="preserve">
ELECTRICISTA DE INSTALACIONES Y MANTENIMIENTL "SENA". TECNICO EN ELECTRICIDAD INDUSTRIAL..TECNICO EN REDES ELECTRICAS. MATRICULA PROFESIONAL DE TECNICO ELECTRISISTA.</t>
        </r>
      </text>
    </comment>
    <comment ref="C215" authorId="0" shapeId="0" xr:uid="{DDD3118A-B1F6-4DFF-B15F-D4FABD1FCC1D}">
      <text>
        <r>
          <rPr>
            <b/>
            <sz val="9"/>
            <color indexed="81"/>
            <rFont val="Tahoma"/>
            <family val="2"/>
          </rPr>
          <t>Yamir Adrian Gomez:</t>
        </r>
        <r>
          <rPr>
            <sz val="9"/>
            <color indexed="81"/>
            <rFont val="Tahoma"/>
            <family val="2"/>
          </rPr>
          <t xml:space="preserve">
CARGO DE RICHARD MARTINEZ QUIEN RENUNCIO A SU CARGO A PARTIR DEL 01/07/26.</t>
        </r>
      </text>
    </comment>
    <comment ref="S215" authorId="0" shapeId="0" xr:uid="{E0D9D263-520E-42DE-B63D-C827D404F6A7}">
      <text>
        <r>
          <rPr>
            <b/>
            <sz val="8"/>
            <color indexed="81"/>
            <rFont val="Tahoma"/>
            <family val="2"/>
          </rPr>
          <t>Yamir Adrian Gomez:</t>
        </r>
        <r>
          <rPr>
            <sz val="8"/>
            <color indexed="81"/>
            <rFont val="Tahoma"/>
            <family val="2"/>
          </rPr>
          <t xml:space="preserve">
TECNICO ELECTRICISTA. TECNICO EN SISTEMAS, ELECTRICIDAD BASICA.</t>
        </r>
      </text>
    </comment>
    <comment ref="C216" authorId="0" shapeId="0" xr:uid="{76117F94-344E-4C2F-BC0C-530A7D5E8957}">
      <text>
        <r>
          <rPr>
            <b/>
            <sz val="9"/>
            <color indexed="81"/>
            <rFont val="Tahoma"/>
            <family val="2"/>
          </rPr>
          <t>Yamir Adrian Gomez:</t>
        </r>
        <r>
          <rPr>
            <sz val="9"/>
            <color indexed="81"/>
            <rFont val="Tahoma"/>
            <family val="2"/>
          </rPr>
          <t xml:space="preserve">
CARGO DE CRISTIAN CRILLO QUIEN PASO A OPERADOR CLC.</t>
        </r>
      </text>
    </comment>
    <comment ref="C217" authorId="0" shapeId="0" xr:uid="{1D817944-3ABD-4CC9-96B1-62EE5DA5EE85}">
      <text>
        <r>
          <rPr>
            <b/>
            <sz val="9"/>
            <color indexed="81"/>
            <rFont val="Tahoma"/>
            <family val="2"/>
          </rPr>
          <t>Yamir Adrian Gomez:</t>
        </r>
        <r>
          <rPr>
            <sz val="9"/>
            <color indexed="81"/>
            <rFont val="Tahoma"/>
            <family val="2"/>
          </rPr>
          <t xml:space="preserve">
TRASLADO DESDE LA CRUZ A PASTO DESDE EL 22/08/25.ASC A OPERAD SUB DESDE 06/05/26</t>
        </r>
      </text>
    </comment>
    <comment ref="S217" authorId="0" shapeId="0" xr:uid="{6296C3B3-28C6-488E-B6B2-7E8D3B35684F}">
      <text>
        <r>
          <rPr>
            <b/>
            <sz val="8"/>
            <color indexed="81"/>
            <rFont val="Tahoma"/>
            <family val="2"/>
          </rPr>
          <t>Yamir Adrian Gomez:</t>
        </r>
        <r>
          <rPr>
            <sz val="8"/>
            <color indexed="81"/>
            <rFont val="Tahoma"/>
            <family val="2"/>
          </rPr>
          <t xml:space="preserve">
TECNICO ELECTRICISTA, TECNICO PROFESIONAL EN GESTION DE RECURSOS NATURALES, BACHILLER ACADEMICO, MODULO DE FORMACION EN MICROCUENCAS, FORMACION EN INFORMATICA BASICA, SEMINARIO TALLER EQUIPOS PUESTA A TIERRA, </t>
        </r>
      </text>
    </comment>
    <comment ref="C219" authorId="0" shapeId="0" xr:uid="{4830D1DF-0543-4B15-BA3B-5E1ACFF99DC2}">
      <text>
        <r>
          <rPr>
            <b/>
            <sz val="9"/>
            <color indexed="81"/>
            <rFont val="Tahoma"/>
            <family val="2"/>
          </rPr>
          <t>Yamir Adrian Gomez:</t>
        </r>
        <r>
          <rPr>
            <sz val="9"/>
            <color indexed="81"/>
            <rFont val="Tahoma"/>
            <family val="2"/>
          </rPr>
          <t xml:space="preserve">
cargo de ricardo rodriguez quien renuncio a partir del 01/03/25. ASCENSO A PARTIR DEL 01/01/26</t>
        </r>
      </text>
    </comment>
    <comment ref="S219" authorId="0" shapeId="0" xr:uid="{722D22F1-F40B-4DE2-B6A0-81F9FAAF8B97}">
      <text>
        <r>
          <rPr>
            <b/>
            <sz val="8"/>
            <color indexed="81"/>
            <rFont val="Tahoma"/>
            <family val="2"/>
          </rPr>
          <t>Yamir Adrian Gomez:</t>
        </r>
        <r>
          <rPr>
            <sz val="8"/>
            <color indexed="81"/>
            <rFont val="Tahoma"/>
            <family val="2"/>
          </rPr>
          <t xml:space="preserve">
TECNICO ELECTRICISTA, CURSOS SENA CONTADORES ENERGIA, ELECRICIDAD BASICA, SUBESTACIONES. INFORMATICA BASICA</t>
        </r>
      </text>
    </comment>
    <comment ref="F220" authorId="0" shapeId="0" xr:uid="{6536016A-1F22-4EB5-A7CC-2A20C6D1BAB5}">
      <text>
        <r>
          <rPr>
            <b/>
            <sz val="9"/>
            <color indexed="81"/>
            <rFont val="Tahoma"/>
            <family val="2"/>
          </rPr>
          <t>Yamir Adrian Gomez:</t>
        </r>
        <r>
          <rPr>
            <sz val="9"/>
            <color indexed="81"/>
            <rFont val="Tahoma"/>
            <family val="2"/>
          </rPr>
          <t xml:space="preserve">
COM FUNC OPER SUB CATAMB DESDE 16/06/26</t>
        </r>
      </text>
    </comment>
    <comment ref="S220" authorId="0" shapeId="0" xr:uid="{29807C97-E643-4BF4-8544-6C9B03C4866B}">
      <text>
        <r>
          <rPr>
            <b/>
            <sz val="8"/>
            <color indexed="81"/>
            <rFont val="Tahoma"/>
            <family val="2"/>
          </rPr>
          <t>Yamir Adrian Gomez:</t>
        </r>
        <r>
          <rPr>
            <sz val="8"/>
            <color indexed="81"/>
            <rFont val="Tahoma"/>
            <family val="2"/>
          </rPr>
          <t xml:space="preserve">
TECNICO ELECTRICISTA, BACHILLER. INFORMATICA BASICA, MECANICA Y MANTENIMIENTO DE COMPUTADORES.</t>
        </r>
      </text>
    </comment>
    <comment ref="D221" authorId="0" shapeId="0" xr:uid="{7EA53CE3-97D0-46FB-8F95-66D2A85ECFA8}">
      <text>
        <r>
          <rPr>
            <b/>
            <sz val="8"/>
            <color indexed="81"/>
            <rFont val="Tahoma"/>
            <family val="2"/>
          </rPr>
          <t>Yamir Adrian Gomez:</t>
        </r>
        <r>
          <rPr>
            <sz val="8"/>
            <color indexed="81"/>
            <rFont val="Tahoma"/>
            <family val="2"/>
          </rPr>
          <t xml:space="preserve">
COM. FUNCIOENS REDES,ESTE CARGO AHORA LO TIENE OSCAR JAMAUCA A PARTIR DE ENERO DE 2017.</t>
        </r>
      </text>
    </comment>
    <comment ref="S221" authorId="0" shapeId="0" xr:uid="{DD0F3D5A-B54B-4A01-BFB9-35C8A4F39214}">
      <text>
        <r>
          <rPr>
            <b/>
            <sz val="8"/>
            <color indexed="81"/>
            <rFont val="Tahoma"/>
            <family val="2"/>
          </rPr>
          <t>Yamir Adrian Gomez:</t>
        </r>
        <r>
          <rPr>
            <sz val="8"/>
            <color indexed="81"/>
            <rFont val="Tahoma"/>
            <family val="2"/>
          </rPr>
          <t xml:space="preserve">
Especialista en servicios publicos domiciliarios. Abogado.TECNICO INSTALACIONES RESIDENCIALES E INDUSTRIALES. DIPLOMADO EN CRIMINALISTICA. TECNOLOGIA EN ELECTRONICA Y TELECOMUNICACIONES, OCHO SEMESTRES DE  INGENEIRIA ELECTROMECANICA, REPARACION Y MANTENIMIENTO DE COMPUTADORES.</t>
        </r>
      </text>
    </comment>
    <comment ref="C222" authorId="0" shapeId="0" xr:uid="{C72375B7-87B4-43E0-907A-E226C2293E1E}">
      <text>
        <r>
          <rPr>
            <b/>
            <sz val="9"/>
            <color indexed="81"/>
            <rFont val="Tahoma"/>
            <family val="2"/>
          </rPr>
          <t>Yamir Adrian Gomez:</t>
        </r>
        <r>
          <rPr>
            <sz val="9"/>
            <color indexed="81"/>
            <rFont val="Tahoma"/>
            <family val="2"/>
          </rPr>
          <t xml:space="preserve">
Cargo de Raul muñoz quien renuncio a partir del 01/03/25.</t>
        </r>
      </text>
    </comment>
    <comment ref="S222" authorId="0" shapeId="0" xr:uid="{71E8024A-8706-49BB-A6AC-4F51CE069E35}">
      <text>
        <r>
          <rPr>
            <b/>
            <sz val="8"/>
            <color indexed="81"/>
            <rFont val="Tahoma"/>
            <family val="2"/>
          </rPr>
          <t>Yamir Adrian Gomez:</t>
        </r>
        <r>
          <rPr>
            <sz val="8"/>
            <color indexed="81"/>
            <rFont val="Tahoma"/>
            <family val="2"/>
          </rPr>
          <t xml:space="preserve">
TECNICO ELECTRICISTA</t>
        </r>
      </text>
    </comment>
    <comment ref="S223" authorId="0" shapeId="0" xr:uid="{C34725E6-2CFF-44E3-AC32-91CB9D2E7E8C}">
      <text>
        <r>
          <rPr>
            <b/>
            <sz val="8"/>
            <color indexed="81"/>
            <rFont val="Tahoma"/>
            <family val="2"/>
          </rPr>
          <t>Yamir Adrian Gomez:</t>
        </r>
        <r>
          <rPr>
            <sz val="8"/>
            <color indexed="81"/>
            <rFont val="Tahoma"/>
            <family val="2"/>
          </rPr>
          <t xml:space="preserve">
TECNICO ELECTRICISTA, BACHILLER ACADEMICO, FORMACION AVANZADO TRABAJO SEGURO EN ALTURAS</t>
        </r>
      </text>
    </comment>
    <comment ref="S224" authorId="0" shapeId="0" xr:uid="{3C70C5C9-8466-4E1F-972E-AD104260F758}">
      <text>
        <r>
          <rPr>
            <b/>
            <sz val="8"/>
            <color indexed="81"/>
            <rFont val="Tahoma"/>
            <family val="2"/>
          </rPr>
          <t>Yamir Adrian Gomez:</t>
        </r>
        <r>
          <rPr>
            <sz val="8"/>
            <color indexed="81"/>
            <rFont val="Tahoma"/>
            <family val="2"/>
          </rPr>
          <t xml:space="preserve">
BACHILLER ACADEMICO. TECNICO ELESTRICICTA</t>
        </r>
      </text>
    </comment>
    <comment ref="C225" authorId="0" shapeId="0" xr:uid="{5BDA2AE0-F64D-435F-9C61-EBF2C99C76CC}">
      <text>
        <r>
          <rPr>
            <b/>
            <sz val="9"/>
            <color indexed="81"/>
            <rFont val="Tahoma"/>
            <family val="2"/>
          </rPr>
          <t>Yamir Adrian Gomez:</t>
        </r>
        <r>
          <rPr>
            <sz val="9"/>
            <color indexed="81"/>
            <rFont val="Tahoma"/>
            <family val="2"/>
          </rPr>
          <t xml:space="preserve">
CARGO DE YETI BURGOS QUIEN ESTA DE ENCARGO COMO Operador subest desde el 10/03/25.  Daniel alejandro portilla</t>
        </r>
      </text>
    </comment>
    <comment ref="C226" authorId="0" shapeId="0" xr:uid="{9EA13FC1-4F5C-4696-A62E-23196C7A8DBF}">
      <text>
        <r>
          <rPr>
            <b/>
            <sz val="9"/>
            <color indexed="81"/>
            <rFont val="Tahoma"/>
            <family val="2"/>
          </rPr>
          <t>Yamir Adrian Gomez:</t>
        </r>
        <r>
          <rPr>
            <sz val="9"/>
            <color indexed="81"/>
            <rFont val="Tahoma"/>
            <family val="2"/>
          </rPr>
          <t xml:space="preserve">
CARGO DE NOE VILLOTA QUIEN RENUNCIO A PARTIR DEL 01/08/26</t>
        </r>
      </text>
    </comment>
    <comment ref="S226" authorId="0" shapeId="0" xr:uid="{F57B0C78-B637-4695-B67F-8476C4EF961E}">
      <text>
        <r>
          <rPr>
            <b/>
            <sz val="8"/>
            <color indexed="81"/>
            <rFont val="Tahoma"/>
            <family val="2"/>
          </rPr>
          <t>Yamir Adrian Gomez:</t>
        </r>
        <r>
          <rPr>
            <sz val="8"/>
            <color indexed="81"/>
            <rFont val="Tahoma"/>
            <family val="2"/>
          </rPr>
          <t xml:space="preserve">
TECNICO ELECTRICISTA</t>
        </r>
      </text>
    </comment>
    <comment ref="M227" authorId="0" shapeId="0" xr:uid="{47D4AD63-7AA6-458F-AA2A-0B8D2E24C169}">
      <text>
        <r>
          <rPr>
            <b/>
            <sz val="9"/>
            <color indexed="81"/>
            <rFont val="Tahoma"/>
            <family val="2"/>
          </rPr>
          <t>Yamir Adrian Gomez:</t>
        </r>
        <r>
          <rPr>
            <sz val="9"/>
            <color indexed="81"/>
            <rFont val="Tahoma"/>
            <family val="2"/>
          </rPr>
          <t xml:space="preserve">
CONTRATO INDEFINIDO</t>
        </r>
      </text>
    </comment>
    <comment ref="S227" authorId="0" shapeId="0" xr:uid="{E2D680BA-A420-4310-8D1E-2B8A8A0F9317}">
      <text>
        <r>
          <rPr>
            <b/>
            <sz val="8"/>
            <color indexed="81"/>
            <rFont val="Tahoma"/>
            <family val="2"/>
          </rPr>
          <t>Yamir Adrian Gomez:</t>
        </r>
        <r>
          <rPr>
            <sz val="8"/>
            <color indexed="81"/>
            <rFont val="Tahoma"/>
            <family val="2"/>
          </rPr>
          <t xml:space="preserve">
ABOGADA. ESPECIALISTA DERECHO ADMINISTRATIVO.ESPECIALIZACION EN DERECHOS HUMANOS.</t>
        </r>
      </text>
    </comment>
    <comment ref="S228" authorId="0" shapeId="0" xr:uid="{140C5C8E-1CBA-4094-9F6C-2856B36FE328}">
      <text>
        <r>
          <rPr>
            <b/>
            <sz val="8"/>
            <color indexed="81"/>
            <rFont val="Tahoma"/>
            <family val="2"/>
          </rPr>
          <t>Yamir Adrian Gomez:</t>
        </r>
        <r>
          <rPr>
            <sz val="8"/>
            <color indexed="81"/>
            <rFont val="Tahoma"/>
            <family val="2"/>
          </rPr>
          <t xml:space="preserve">
DIPLOMADO EN EXCEL AVANZADO, CURSO DE CONTABILIDAD, CURSO TECNICAD DE OFICINA, INFORMATICA BASICA, CURSO DE MECANOGRAFIA, BACHILLER PEDAGOGICO, TECNOLOGO EN ADMINISTRACION MUNICIPAL </t>
        </r>
      </text>
    </comment>
    <comment ref="S229" authorId="0" shapeId="0" xr:uid="{8F42BB3A-7799-40BF-8725-A4D1C18B2474}">
      <text>
        <r>
          <rPr>
            <b/>
            <sz val="8"/>
            <color indexed="81"/>
            <rFont val="Tahoma"/>
            <family val="2"/>
          </rPr>
          <t>Yamir Adrian Gomez:</t>
        </r>
        <r>
          <rPr>
            <sz val="8"/>
            <color indexed="81"/>
            <rFont val="Tahoma"/>
            <family val="2"/>
          </rPr>
          <t xml:space="preserve">
LICENCIADO EN FILOSOFIA Y LETRAS. DIPLOMADO EN CONCILIACION Y MECANISMOS ALTERNATIVOS DE SOLUCION DE CONFLICTOS. ELECTRICIDAD BASICA</t>
        </r>
      </text>
    </comment>
    <comment ref="C230" authorId="0" shapeId="0" xr:uid="{0D71F081-BE1A-48CD-884E-3AD08C17AF2D}">
      <text>
        <r>
          <rPr>
            <b/>
            <sz val="9"/>
            <color indexed="81"/>
            <rFont val="Tahoma"/>
            <family val="2"/>
          </rPr>
          <t>Yamir Adrian Gomez:</t>
        </r>
        <r>
          <rPr>
            <sz val="9"/>
            <color indexed="81"/>
            <rFont val="Tahoma"/>
            <family val="2"/>
          </rPr>
          <t xml:space="preserve">
Traslado de la div adnsitrativa a aprtri del 15/04/25.</t>
        </r>
      </text>
    </comment>
    <comment ref="H230" authorId="1" shapeId="0" xr:uid="{125EC1DD-8A04-41E3-AE07-AD1EFC4B6B4E}">
      <text>
        <r>
          <rPr>
            <b/>
            <sz val="9"/>
            <color indexed="81"/>
            <rFont val="Tahoma"/>
            <family val="2"/>
          </rPr>
          <t>YAMIR GOMEZ:</t>
        </r>
        <r>
          <rPr>
            <sz val="9"/>
            <color indexed="81"/>
            <rFont val="Tahoma"/>
            <family val="2"/>
          </rPr>
          <t xml:space="preserve">
Fecha de ingreso como salario integral a partior del 16/02/2021</t>
        </r>
      </text>
    </comment>
    <comment ref="S230" authorId="1" shapeId="0" xr:uid="{252CBBCA-F659-4E20-9CD9-1F4221F267F5}">
      <text>
        <r>
          <rPr>
            <b/>
            <sz val="9"/>
            <color indexed="81"/>
            <rFont val="Tahoma"/>
            <family val="2"/>
          </rPr>
          <t>YAMIR GOMEZ:</t>
        </r>
        <r>
          <rPr>
            <sz val="9"/>
            <color indexed="81"/>
            <rFont val="Tahoma"/>
            <family val="2"/>
          </rPr>
          <t xml:space="preserve">
ABOGADA. ESPECIALISTA EN ALTA GERENCIA, ESPECIALISTA EN DERECHO LABORAL Y SEGURIDAD SOCIAL. DIPLOMADO DE AUTORES INTERNOS.EN SISTEMA DE GESTION DE SEGD. Y SALUD OCUPACIONAL.</t>
        </r>
      </text>
    </comment>
    <comment ref="S231" authorId="0" shapeId="0" xr:uid="{AA4A2D41-84DF-4130-8FAB-B48F2E8CC611}">
      <text>
        <r>
          <rPr>
            <b/>
            <sz val="8"/>
            <color indexed="81"/>
            <rFont val="Tahoma"/>
            <family val="2"/>
          </rPr>
          <t>Yamir Adrian Gomez:</t>
        </r>
        <r>
          <rPr>
            <sz val="8"/>
            <color indexed="81"/>
            <rFont val="Tahoma"/>
            <family val="2"/>
          </rPr>
          <t xml:space="preserve">
INGENIERO ELECTRICISTA, CURSO DE INSTALACIONES ELECTRICAS DOMICILIARIAS, CURSO AUTOCAD 2D, CURSO DE MANEJO DE HERRAMIENTAS MICROSOFT OFFICE 2010</t>
        </r>
      </text>
    </comment>
    <comment ref="S233" authorId="0" shapeId="0" xr:uid="{25B1BC8F-E1B1-4292-B499-E3AACDF7331C}">
      <text>
        <r>
          <rPr>
            <b/>
            <sz val="9"/>
            <color indexed="81"/>
            <rFont val="Tahoma"/>
            <family val="2"/>
          </rPr>
          <t>Yamir Adrian Gomez:</t>
        </r>
        <r>
          <rPr>
            <sz val="9"/>
            <color indexed="81"/>
            <rFont val="Tahoma"/>
            <family val="2"/>
          </rPr>
          <t xml:space="preserve">
CPONTADOR PUBLICO</t>
        </r>
      </text>
    </comment>
    <comment ref="S235" authorId="0" shapeId="0" xr:uid="{216B9C24-7CA0-4A8D-AEA2-65F2383F1115}">
      <text>
        <r>
          <rPr>
            <b/>
            <sz val="8"/>
            <color indexed="81"/>
            <rFont val="Tahoma"/>
            <family val="2"/>
          </rPr>
          <t>Yamir Adrian Gomez:</t>
        </r>
        <r>
          <rPr>
            <sz val="8"/>
            <color indexed="81"/>
            <rFont val="Tahoma"/>
            <family val="2"/>
          </rPr>
          <t xml:space="preserve">
TEGNOLOGO EN SISTEMASDIPLOMADO EN EXCEL AVANZADO</t>
        </r>
      </text>
    </comment>
    <comment ref="S236" authorId="0" shapeId="0" xr:uid="{148D18C7-14ED-4DFA-9CB3-A6631BB375CB}">
      <text>
        <r>
          <rPr>
            <b/>
            <sz val="8"/>
            <color indexed="81"/>
            <rFont val="Tahoma"/>
            <family val="2"/>
          </rPr>
          <t>Yamir Adrian Gomez:</t>
        </r>
        <r>
          <rPr>
            <sz val="8"/>
            <color indexed="81"/>
            <rFont val="Tahoma"/>
            <family val="2"/>
          </rPr>
          <t xml:space="preserve">
ADMINISTRADOR DE EMPRESAS</t>
        </r>
      </text>
    </comment>
    <comment ref="C237" authorId="0" shapeId="0" xr:uid="{4D61A5D1-CDDF-4F3B-A624-A995B43D1860}">
      <text>
        <r>
          <rPr>
            <b/>
            <sz val="9"/>
            <color indexed="81"/>
            <rFont val="Tahoma"/>
            <family val="2"/>
          </rPr>
          <t>Yamir Adrian Gomez:</t>
        </r>
        <r>
          <rPr>
            <sz val="9"/>
            <color indexed="81"/>
            <rFont val="Tahoma"/>
            <family val="2"/>
          </rPr>
          <t xml:space="preserve">
CARGO DE ALIRIO GUERRA QUIEN RENUNCIO A PARTRI DEL 14/08/26</t>
        </r>
      </text>
    </comment>
    <comment ref="H239" authorId="0" shapeId="0" xr:uid="{74619248-DB0A-4034-960A-31696BB38BD3}">
      <text>
        <r>
          <rPr>
            <b/>
            <sz val="9"/>
            <color indexed="81"/>
            <rFont val="Tahoma"/>
            <family val="2"/>
          </rPr>
          <t>Yamir Adrian Gomez:</t>
        </r>
        <r>
          <rPr>
            <sz val="9"/>
            <color indexed="81"/>
            <rFont val="Tahoma"/>
            <family val="2"/>
          </rPr>
          <t xml:space="preserve">
08/01/26</t>
        </r>
      </text>
    </comment>
    <comment ref="S240" authorId="0" shapeId="0" xr:uid="{CDEBD718-F2B8-4730-B82F-71B6224AB543}">
      <text>
        <r>
          <rPr>
            <b/>
            <sz val="8"/>
            <color indexed="81"/>
            <rFont val="Tahoma"/>
            <family val="2"/>
          </rPr>
          <t>Yamir Adrian Gomez:</t>
        </r>
        <r>
          <rPr>
            <sz val="8"/>
            <color indexed="81"/>
            <rFont val="Tahoma"/>
            <family val="2"/>
          </rPr>
          <t xml:space="preserve">
ADMINISTRADORA DE EMPRESAS. ESPECIALISTA EN FINANZAS,CURSOS BASICOS.</t>
        </r>
      </text>
    </comment>
    <comment ref="S241" authorId="0" shapeId="0" xr:uid="{4FF1DD88-D643-4A43-8223-0725FE635720}">
      <text>
        <r>
          <rPr>
            <b/>
            <sz val="8"/>
            <color indexed="81"/>
            <rFont val="Tahoma"/>
            <family val="2"/>
          </rPr>
          <t>Yamir Adrian Gomez:</t>
        </r>
        <r>
          <rPr>
            <sz val="8"/>
            <color indexed="81"/>
            <rFont val="Tahoma"/>
            <family val="2"/>
          </rPr>
          <t xml:space="preserve">
ECONOMISTA. ESPECIALISTA EN PROYECTOS DE DESARROLLO</t>
        </r>
      </text>
    </comment>
    <comment ref="C242" authorId="0" shapeId="0" xr:uid="{4638DC25-D6F0-4745-94A1-1ABBBE4F4255}">
      <text>
        <r>
          <rPr>
            <b/>
            <sz val="9"/>
            <color indexed="81"/>
            <rFont val="Tahoma"/>
            <family val="2"/>
          </rPr>
          <t>Yamir Adrian Gomez:</t>
        </r>
        <r>
          <rPr>
            <sz val="9"/>
            <color indexed="81"/>
            <rFont val="Tahoma"/>
            <family val="2"/>
          </rPr>
          <t xml:space="preserve">
caRGO DE EDGAR DAVILA</t>
        </r>
      </text>
    </comment>
    <comment ref="S242" authorId="0" shapeId="0" xr:uid="{B02AD77B-A4B0-43B7-9932-4CCBB5F9F20C}">
      <text>
        <r>
          <rPr>
            <b/>
            <sz val="8"/>
            <color indexed="81"/>
            <rFont val="Tahoma"/>
            <family val="2"/>
          </rPr>
          <t>Yamir Adrian Gomez:</t>
        </r>
        <r>
          <rPr>
            <sz val="8"/>
            <color indexed="81"/>
            <rFont val="Tahoma"/>
            <family val="2"/>
          </rPr>
          <t xml:space="preserve">
TECNOLOGO EN SISTEMAS DE INFORMACION. CONTADOR PUBLICO. ESPECIALISTA EN ALTA GERENCIA</t>
        </r>
      </text>
    </comment>
    <comment ref="S243" authorId="0" shapeId="0" xr:uid="{6AB139A1-2965-4671-AB3D-A959807AAE45}">
      <text>
        <r>
          <rPr>
            <b/>
            <sz val="8"/>
            <color indexed="81"/>
            <rFont val="Tahoma"/>
            <family val="2"/>
          </rPr>
          <t>Yamir Adrian Gomez:</t>
        </r>
        <r>
          <rPr>
            <sz val="8"/>
            <color indexed="81"/>
            <rFont val="Tahoma"/>
            <family val="2"/>
          </rPr>
          <t xml:space="preserve">
INGENIERA DE SISTEMAS DIPLOMADO EN HERRAMIENTAS AVANZADAS DE INTERNET.</t>
        </r>
      </text>
    </comment>
    <comment ref="S244" authorId="0" shapeId="0" xr:uid="{78F209CC-5E94-4524-833F-62B0BA95E48C}">
      <text>
        <r>
          <rPr>
            <b/>
            <sz val="8"/>
            <color indexed="81"/>
            <rFont val="Tahoma"/>
            <family val="2"/>
          </rPr>
          <t>Yamir Adrian Gomez:</t>
        </r>
        <r>
          <rPr>
            <sz val="8"/>
            <color indexed="81"/>
            <rFont val="Tahoma"/>
            <family val="2"/>
          </rPr>
          <t xml:space="preserve">
TECNICO  SISTEMAS , ANALISTA PROGRAMADOR EN SISTEMAS,MANTENIMIENTO DE COMPUTADORSE 6 SEMESTRS DE INGENIERIA EN SISTEMAS.</t>
        </r>
      </text>
    </comment>
    <comment ref="D245" authorId="0" shapeId="0" xr:uid="{819FEAA3-F858-43D4-A30A-BBD3380ABAC1}">
      <text>
        <r>
          <rPr>
            <b/>
            <sz val="9"/>
            <color indexed="81"/>
            <rFont val="Tahoma"/>
            <family val="2"/>
          </rPr>
          <t>Yamir Adrian Gomez:</t>
        </r>
        <r>
          <rPr>
            <sz val="9"/>
            <color indexed="81"/>
            <rFont val="Tahoma"/>
            <family val="2"/>
          </rPr>
          <t xml:space="preserve">
ENCARGO DE TECNICO II A PARTRI DEL 01/08/2024. CARGO DE WILSON MERA.
ASCENSO A PARTIR DEL 01/01/26.</t>
        </r>
      </text>
    </comment>
    <comment ref="C247" authorId="0" shapeId="0" xr:uid="{F3773D98-24BD-4671-9634-2A61339814C5}">
      <text>
        <r>
          <rPr>
            <b/>
            <sz val="9"/>
            <color indexed="81"/>
            <rFont val="Tahoma"/>
            <family val="2"/>
          </rPr>
          <t>Yamir Adrian Gomez:</t>
        </r>
        <r>
          <rPr>
            <sz val="9"/>
            <color indexed="81"/>
            <rFont val="Tahoma"/>
            <family val="2"/>
          </rPr>
          <t xml:space="preserve">
CARGO DE GLADYS BUCHELI QUIEN RENUNCIO A PARTIR DEL 01/08/26</t>
        </r>
      </text>
    </comment>
    <comment ref="S247" authorId="0" shapeId="0" xr:uid="{9ECDC5E6-E8CC-4FAE-BD43-E4D759577EF2}">
      <text>
        <r>
          <rPr>
            <b/>
            <sz val="8"/>
            <color indexed="81"/>
            <rFont val="Tahoma"/>
            <family val="2"/>
          </rPr>
          <t>Yamir Adrian Gomez:</t>
        </r>
        <r>
          <rPr>
            <sz val="8"/>
            <color indexed="81"/>
            <rFont val="Tahoma"/>
            <family val="2"/>
          </rPr>
          <t xml:space="preserve">
BACHILLER ACADEMICO. SECRETARIADO GENERAL. AUXILIAR DE SISTEMAS</t>
        </r>
      </text>
    </comment>
    <comment ref="C248" authorId="0" shapeId="0" xr:uid="{91B1DC61-1574-4AAE-944F-61172595E2B6}">
      <text>
        <r>
          <rPr>
            <b/>
            <sz val="9"/>
            <color indexed="81"/>
            <rFont val="Tahoma"/>
            <family val="2"/>
          </rPr>
          <t>Yamir Adrian Gomez:</t>
        </r>
        <r>
          <rPr>
            <sz val="9"/>
            <color indexed="81"/>
            <rFont val="Tahoma"/>
            <family val="2"/>
          </rPr>
          <t xml:space="preserve">
Cargo de edita piandoy quien renuncio a su cargo a partir dell 01/01/26.</t>
        </r>
      </text>
    </comment>
    <comment ref="S248" authorId="0" shapeId="0" xr:uid="{B2741882-7577-4955-9DA7-CBB2DC43B628}">
      <text>
        <r>
          <rPr>
            <b/>
            <sz val="8"/>
            <color indexed="81"/>
            <rFont val="Tahoma"/>
            <family val="2"/>
          </rPr>
          <t>Yamir Adrian Gomez:</t>
        </r>
        <r>
          <rPr>
            <sz val="8"/>
            <color indexed="81"/>
            <rFont val="Tahoma"/>
            <family val="2"/>
          </rPr>
          <t xml:space="preserve">
LICENCIADA EN COMERCIO Y CONTADURIA - CONTADORA PUBLICA</t>
        </r>
      </text>
    </comment>
    <comment ref="S249" authorId="0" shapeId="0" xr:uid="{A9451B26-3876-444C-B057-9D5AB9AD1A5B}">
      <text>
        <r>
          <rPr>
            <b/>
            <sz val="8"/>
            <color indexed="81"/>
            <rFont val="Tahoma"/>
            <family val="2"/>
          </rPr>
          <t>Yamir Adrian Gomez:</t>
        </r>
        <r>
          <rPr>
            <sz val="8"/>
            <color indexed="81"/>
            <rFont val="Tahoma"/>
            <family val="2"/>
          </rPr>
          <t xml:space="preserve">
INGENIERO EN SISTEMAS, INTRODUCCION A ORACLE</t>
        </r>
      </text>
    </comment>
    <comment ref="C250" authorId="0" shapeId="0" xr:uid="{D3328204-84A1-4B91-AEDF-95E0FCAEEAD1}">
      <text>
        <r>
          <rPr>
            <b/>
            <sz val="9"/>
            <color indexed="81"/>
            <rFont val="Tahoma"/>
            <family val="2"/>
          </rPr>
          <t>Yamir Adrian Gomez:</t>
        </r>
        <r>
          <rPr>
            <sz val="9"/>
            <color indexed="81"/>
            <rFont val="Tahoma"/>
            <family val="2"/>
          </rPr>
          <t xml:space="preserve">
Encargo de Aux II hasta 31/12/26. Cargo de Javier narvaez quien paso a Tec II.</t>
        </r>
      </text>
    </comment>
    <comment ref="C251" authorId="0" shapeId="0" xr:uid="{66570D23-A7AD-4D82-9956-C8F43E72ADE1}">
      <text>
        <r>
          <rPr>
            <b/>
            <sz val="9"/>
            <color indexed="81"/>
            <rFont val="Tahoma"/>
            <family val="2"/>
          </rPr>
          <t>Yamir Adrian Gomez:</t>
        </r>
        <r>
          <rPr>
            <sz val="9"/>
            <color indexed="81"/>
            <rFont val="Tahoma"/>
            <family val="2"/>
          </rPr>
          <t xml:space="preserve">
CARGO ANGELA BURGOS QUIEN PASO AUX I</t>
        </r>
      </text>
    </comment>
    <comment ref="S251" authorId="0" shapeId="0" xr:uid="{AD85E2AE-64DB-4169-A99E-0616CBF26B7D}">
      <text>
        <r>
          <rPr>
            <b/>
            <sz val="8"/>
            <color indexed="81"/>
            <rFont val="Tahoma"/>
            <family val="2"/>
          </rPr>
          <t>Yamir Adrian Gomez:</t>
        </r>
        <r>
          <rPr>
            <sz val="8"/>
            <color indexed="81"/>
            <rFont val="Tahoma"/>
            <family val="2"/>
          </rPr>
          <t xml:space="preserve">
BACHILLER, 5 SEMESTRES PSICOLOGIA SOCIAL. INGLES BASICO</t>
        </r>
      </text>
    </comment>
    <comment ref="S252" authorId="0" shapeId="0" xr:uid="{1BAE8788-6DCB-43F9-86DD-3BB2C1B3BE7F}">
      <text>
        <r>
          <rPr>
            <b/>
            <sz val="8"/>
            <color indexed="81"/>
            <rFont val="Tahoma"/>
            <family val="2"/>
          </rPr>
          <t>Yamir Adrian Gomez:</t>
        </r>
        <r>
          <rPr>
            <sz val="8"/>
            <color indexed="81"/>
            <rFont val="Tahoma"/>
            <family val="2"/>
          </rPr>
          <t xml:space="preserve">
PROCESO DE GRADUACION CONTADURIA</t>
        </r>
      </text>
    </comment>
    <comment ref="S253" authorId="0" shapeId="0" xr:uid="{AB4A0A3A-31C9-4ED0-8FD3-1033A83DD2E3}">
      <text>
        <r>
          <rPr>
            <b/>
            <sz val="8"/>
            <color indexed="81"/>
            <rFont val="Tahoma"/>
            <family val="2"/>
          </rPr>
          <t>Yamir Adrian Gomez:</t>
        </r>
        <r>
          <rPr>
            <sz val="8"/>
            <color indexed="81"/>
            <rFont val="Tahoma"/>
            <family val="2"/>
          </rPr>
          <t xml:space="preserve">
TRABAJO SEGURO EN ALTURAS, TECNICO EN ELECTRICISTA, </t>
        </r>
      </text>
    </comment>
    <comment ref="C254" authorId="1" shapeId="0" xr:uid="{27F79771-5379-4B75-BC0B-8D24116D4F75}">
      <text>
        <r>
          <rPr>
            <b/>
            <sz val="9"/>
            <color indexed="81"/>
            <rFont val="Tahoma"/>
            <family val="2"/>
          </rPr>
          <t>YAMIR GOMEZ:</t>
        </r>
        <r>
          <rPr>
            <sz val="9"/>
            <color indexed="81"/>
            <rFont val="Tahoma"/>
            <family val="2"/>
          </rPr>
          <t xml:space="preserve">
lopez calvache enrique</t>
        </r>
      </text>
    </comment>
    <comment ref="S255" authorId="0" shapeId="0" xr:uid="{8D1E6CA5-CFAE-4F73-BECB-E791705EDFB4}">
      <text>
        <r>
          <rPr>
            <b/>
            <sz val="8"/>
            <color indexed="81"/>
            <rFont val="Tahoma"/>
            <family val="2"/>
          </rPr>
          <t>Yamir Adrian Gomez:</t>
        </r>
        <r>
          <rPr>
            <sz val="8"/>
            <color indexed="81"/>
            <rFont val="Tahoma"/>
            <family val="2"/>
          </rPr>
          <t xml:space="preserve">
BACHILLER, CURSO AVANZADO SEGURO EN ALTURAS</t>
        </r>
      </text>
    </comment>
    <comment ref="D256" authorId="0" shapeId="0" xr:uid="{74CF6508-B4BB-479A-A439-C85B7F7A5C62}">
      <text>
        <r>
          <rPr>
            <b/>
            <sz val="8"/>
            <color indexed="81"/>
            <rFont val="Tahoma"/>
            <family val="2"/>
          </rPr>
          <t>Yamir Adrian Gomez:</t>
        </r>
        <r>
          <rPr>
            <sz val="8"/>
            <color indexed="81"/>
            <rFont val="Tahoma"/>
            <family val="2"/>
          </rPr>
          <t xml:space="preserve">
CARGO QUE DEJO NELSON JARAMILLO</t>
        </r>
      </text>
    </comment>
    <comment ref="S256" authorId="0" shapeId="0" xr:uid="{9560B6F3-C6D4-4E33-9C53-60F2B53AE02F}">
      <text>
        <r>
          <rPr>
            <b/>
            <sz val="8"/>
            <color indexed="81"/>
            <rFont val="Tahoma"/>
            <family val="2"/>
          </rPr>
          <t>Yamir Adrian Gomez:</t>
        </r>
        <r>
          <rPr>
            <sz val="8"/>
            <color indexed="81"/>
            <rFont val="Tahoma"/>
            <family val="2"/>
          </rPr>
          <t xml:space="preserve">
MATRICULA PROFESIONAL DE TECNICO ELECTRICISTA, CURSO DE CONTROLAR RIESGOS DE TRABAJO SEGURO EN ALTURA, </t>
        </r>
      </text>
    </comment>
    <comment ref="S257" authorId="0" shapeId="0" xr:uid="{C01C563E-2587-4F6F-833C-4EE2A7BA4D40}">
      <text>
        <r>
          <rPr>
            <b/>
            <sz val="8"/>
            <color indexed="81"/>
            <rFont val="Tahoma"/>
            <family val="2"/>
          </rPr>
          <t>Yamir Adrian Gomez:</t>
        </r>
        <r>
          <rPr>
            <sz val="8"/>
            <color indexed="81"/>
            <rFont val="Tahoma"/>
            <family val="2"/>
          </rPr>
          <t xml:space="preserve">
TECNCIO ELECTRICISTA,BACHILLER COMERCIAL,PODA Y TALA DE ARBOLES URBANOS.</t>
        </r>
      </text>
    </comment>
    <comment ref="S258" authorId="0" shapeId="0" xr:uid="{C017732B-5C7B-4E82-AC1F-F3725E9CB463}">
      <text>
        <r>
          <rPr>
            <b/>
            <sz val="8"/>
            <color indexed="81"/>
            <rFont val="Tahoma"/>
            <family val="2"/>
          </rPr>
          <t>Yamir Adrian Gomez:</t>
        </r>
        <r>
          <rPr>
            <sz val="8"/>
            <color indexed="81"/>
            <rFont val="Tahoma"/>
            <family val="2"/>
          </rPr>
          <t xml:space="preserve">
TECNICO ELECTRICISTA, BACHILLER COMERCIAL</t>
        </r>
      </text>
    </comment>
    <comment ref="S259" authorId="0" shapeId="0" xr:uid="{59D056C0-47AB-4C34-8B48-BB850A985D0A}">
      <text>
        <r>
          <rPr>
            <b/>
            <sz val="8"/>
            <color indexed="81"/>
            <rFont val="Tahoma"/>
            <family val="2"/>
          </rPr>
          <t>Yamir Adrian Gomez:</t>
        </r>
        <r>
          <rPr>
            <sz val="8"/>
            <color indexed="81"/>
            <rFont val="Tahoma"/>
            <family val="2"/>
          </rPr>
          <t xml:space="preserve">
TECNICO ELECTRICISTA, BACHILLER MODLIDAD COMERCIO Y CONTABILIDAD. AUXILIAR DE SISTEMAS. TECNICO ELECTRICISTA</t>
        </r>
      </text>
    </comment>
    <comment ref="S260" authorId="0" shapeId="0" xr:uid="{850EE57E-C778-43AC-977E-AA8C18C6B7A0}">
      <text>
        <r>
          <rPr>
            <b/>
            <sz val="8"/>
            <color indexed="81"/>
            <rFont val="Tahoma"/>
            <family val="2"/>
          </rPr>
          <t>Yamir Adrian Gomez:</t>
        </r>
        <r>
          <rPr>
            <sz val="8"/>
            <color indexed="81"/>
            <rFont val="Tahoma"/>
            <family val="2"/>
          </rPr>
          <t xml:space="preserve">
TECNCIO ELECTRICISTA,BACHILLER AGROPECUARIO, CUSOS BASICOS.</t>
        </r>
      </text>
    </comment>
    <comment ref="C261" authorId="0" shapeId="0" xr:uid="{53B07BEC-4FD3-4F2D-AC6C-65B75EEAF1A4}">
      <text>
        <r>
          <rPr>
            <b/>
            <sz val="9"/>
            <color indexed="81"/>
            <rFont val="Tahoma"/>
            <family val="2"/>
          </rPr>
          <t>Yamir Adrian Gomez:</t>
        </r>
        <r>
          <rPr>
            <sz val="9"/>
            <color indexed="81"/>
            <rFont val="Tahoma"/>
            <family val="2"/>
          </rPr>
          <t xml:space="preserve">
CARGO DE ELI RODRIGUEZ QUIEN RENUNCIO A SU CARGO A PARTRI DEL 01/07/26.</t>
        </r>
      </text>
    </comment>
    <comment ref="S261" authorId="0" shapeId="0" xr:uid="{FF169650-D433-457B-B62E-4D27BF9FD7BA}">
      <text>
        <r>
          <rPr>
            <b/>
            <sz val="8"/>
            <color indexed="81"/>
            <rFont val="Tahoma"/>
            <family val="2"/>
          </rPr>
          <t>Yamir Adrian Gomez:</t>
        </r>
        <r>
          <rPr>
            <sz val="8"/>
            <color indexed="81"/>
            <rFont val="Tahoma"/>
            <family val="2"/>
          </rPr>
          <t xml:space="preserve">
TECNICO ELECTRICISTA, FORMACION AVANZADO TRABAJO SEGURO EN ALTURAS</t>
        </r>
      </text>
    </comment>
    <comment ref="D262" authorId="0" shapeId="0" xr:uid="{7228D767-3728-45ED-BC93-DE11234496DB}">
      <text>
        <r>
          <rPr>
            <b/>
            <sz val="9"/>
            <color indexed="81"/>
            <rFont val="Tahoma"/>
            <family val="2"/>
          </rPr>
          <t>Yamir Adrian Gomez:</t>
        </r>
        <r>
          <rPr>
            <sz val="9"/>
            <color indexed="81"/>
            <rFont val="Tahoma"/>
            <family val="2"/>
          </rPr>
          <t xml:space="preserve">
CARGO DE NURY FIERRO (PERDIDAS).COM FUNC DESDE 21/03/25 EN cartera y mercadeo</t>
        </r>
      </text>
    </comment>
    <comment ref="C263" authorId="0" shapeId="0" xr:uid="{BF4A9017-0400-428C-A303-F30D892C827B}">
      <text>
        <r>
          <rPr>
            <b/>
            <sz val="9"/>
            <color indexed="81"/>
            <rFont val="Tahoma"/>
            <family val="2"/>
          </rPr>
          <t>Yamir Adrian Gomez:</t>
        </r>
        <r>
          <rPr>
            <sz val="9"/>
            <color indexed="81"/>
            <rFont val="Tahoma"/>
            <family val="2"/>
          </rPr>
          <t xml:space="preserve">
Patricia Perez</t>
        </r>
      </text>
    </comment>
    <comment ref="S264" authorId="0" shapeId="0" xr:uid="{3303EC76-05F8-479C-B0E3-B9B0E1C7A184}">
      <text>
        <r>
          <rPr>
            <b/>
            <sz val="8"/>
            <color indexed="81"/>
            <rFont val="Tahoma"/>
            <family val="2"/>
          </rPr>
          <t>Yamir Adrian Gomez:</t>
        </r>
        <r>
          <rPr>
            <sz val="8"/>
            <color indexed="81"/>
            <rFont val="Tahoma"/>
            <family val="2"/>
          </rPr>
          <t xml:space="preserve">
BACHILLER ACADEMICO, TECNICO EN AUXILIAR DE ENFERMERIA, CURSO OFFICE BASICO.</t>
        </r>
      </text>
    </comment>
    <comment ref="D265" authorId="0" shapeId="0" xr:uid="{CEFCF236-C8F9-4E0A-95EC-805AF3ABB2F8}">
      <text>
        <r>
          <rPr>
            <b/>
            <sz val="9"/>
            <color indexed="81"/>
            <rFont val="Tahoma"/>
            <family val="2"/>
          </rPr>
          <t>Yamir Adrian Gomez:</t>
        </r>
        <r>
          <rPr>
            <sz val="9"/>
            <color indexed="81"/>
            <rFont val="Tahoma"/>
            <family val="2"/>
          </rPr>
          <t xml:space="preserve">
MAURICIO NARVAEZ. ASCENSO A PARTIR DEL 01/01/26.</t>
        </r>
      </text>
    </comment>
    <comment ref="S265" authorId="0" shapeId="0" xr:uid="{1A3B5581-B8F5-490B-B0DE-FA02CA75A58D}">
      <text>
        <r>
          <rPr>
            <b/>
            <sz val="8"/>
            <color indexed="81"/>
            <rFont val="Tahoma"/>
            <family val="2"/>
          </rPr>
          <t>Yamir Adrian Gomez:</t>
        </r>
        <r>
          <rPr>
            <sz val="8"/>
            <color indexed="81"/>
            <rFont val="Tahoma"/>
            <family val="2"/>
          </rPr>
          <t xml:space="preserve">
ADMINISTRACION DE EMPRESAS Y NEGOCIOS INTERNACIONALES. INFORMATICA BASICA</t>
        </r>
      </text>
    </comment>
    <comment ref="C266" authorId="0" shapeId="0" xr:uid="{4868403B-874C-49AC-B35A-EC5D1E216B68}">
      <text>
        <r>
          <rPr>
            <b/>
            <sz val="9"/>
            <color indexed="81"/>
            <rFont val="Tahoma"/>
            <family val="2"/>
          </rPr>
          <t>Yamir Adrian Gomez:</t>
        </r>
        <r>
          <rPr>
            <sz val="9"/>
            <color indexed="81"/>
            <rFont val="Tahoma"/>
            <family val="2"/>
          </rPr>
          <t xml:space="preserve">
marie elena alban quien renuncio a partir del 01/06/24. ENCARGO A PARTIR DEL 01/08/24. ASCENSO A PARTIR DEL 01/01/26</t>
        </r>
      </text>
    </comment>
    <comment ref="S266" authorId="0" shapeId="0" xr:uid="{F0F875D1-2ECE-4DDB-B278-1F7F588214AC}">
      <text>
        <r>
          <rPr>
            <b/>
            <sz val="8"/>
            <color indexed="81"/>
            <rFont val="Tahoma"/>
            <family val="2"/>
          </rPr>
          <t>Yamir Adrian Gomez:</t>
        </r>
        <r>
          <rPr>
            <sz val="8"/>
            <color indexed="81"/>
            <rFont val="Tahoma"/>
            <family val="2"/>
          </rPr>
          <t xml:space="preserve">
BACHILLER ACADEMICO, CURSO EN  SISTEMAS Y COMPUTACION (1020 HORAS) </t>
        </r>
      </text>
    </comment>
    <comment ref="C267" authorId="0" shapeId="0" xr:uid="{5396CA44-F0A3-48A1-A621-4B7E2B37AC45}">
      <text>
        <r>
          <rPr>
            <b/>
            <sz val="9"/>
            <color indexed="81"/>
            <rFont val="Tahoma"/>
            <family val="2"/>
          </rPr>
          <t>Yamir Adrian Gomez:</t>
        </r>
        <r>
          <rPr>
            <sz val="9"/>
            <color indexed="81"/>
            <rFont val="Tahoma"/>
            <family val="2"/>
          </rPr>
          <t xml:space="preserve">
CARGO DE CARMEN TARAMUEL QUIEN RENUNCIO A PARTIR DEL 01/08/26.</t>
        </r>
      </text>
    </comment>
    <comment ref="S268" authorId="0" shapeId="0" xr:uid="{41FBAE71-4CAE-4A69-BB67-BC6BC3F53B94}">
      <text>
        <r>
          <rPr>
            <b/>
            <sz val="8"/>
            <color indexed="81"/>
            <rFont val="Tahoma"/>
            <family val="2"/>
          </rPr>
          <t>Yamir Adrian Gomez:</t>
        </r>
        <r>
          <rPr>
            <sz val="8"/>
            <color indexed="81"/>
            <rFont val="Tahoma"/>
            <family val="2"/>
          </rPr>
          <t xml:space="preserve">
BACHILLER ACADEMICO.  6 SEMESTRES DE TECNOLOGIA EN ADMINISTRACION FINANCIERA. ADMINISTRACION DE EMPRESAS.</t>
        </r>
      </text>
    </comment>
    <comment ref="S269" authorId="0" shapeId="0" xr:uid="{A14D417B-AFE9-4140-896E-54D34736CDD8}">
      <text>
        <r>
          <rPr>
            <b/>
            <sz val="8"/>
            <color indexed="81"/>
            <rFont val="Tahoma"/>
            <family val="2"/>
          </rPr>
          <t>Yamir Adrian Gomez:</t>
        </r>
        <r>
          <rPr>
            <sz val="8"/>
            <color indexed="81"/>
            <rFont val="Tahoma"/>
            <family val="2"/>
          </rPr>
          <t xml:space="preserve">
SECRETARIA AUXILIAR. 5 SEMESTRES DE TECNOLOGIA EN SITEMAS, CURSO DE ADMINISTRACION DE SOFTWARE, EXEL BASICO, CURSOS SEMINARIOS.</t>
        </r>
      </text>
    </comment>
    <comment ref="C270" authorId="0" shapeId="0" xr:uid="{DB755675-4156-481B-941C-8218841C3FA1}">
      <text>
        <r>
          <rPr>
            <b/>
            <sz val="9"/>
            <color indexed="81"/>
            <rFont val="Tahoma"/>
            <family val="2"/>
          </rPr>
          <t>Yamir Adrian Gomez:</t>
        </r>
        <r>
          <rPr>
            <sz val="9"/>
            <color indexed="81"/>
            <rFont val="Tahoma"/>
            <family val="2"/>
          </rPr>
          <t xml:space="preserve">
CARGO DE ZORAIDA ARCOS</t>
        </r>
      </text>
    </comment>
    <comment ref="C271" authorId="0" shapeId="0" xr:uid="{3D875BFA-153E-4B3F-A6B7-E147A2623744}">
      <text>
        <r>
          <rPr>
            <b/>
            <sz val="9"/>
            <color indexed="81"/>
            <rFont val="Tahoma"/>
            <family val="2"/>
          </rPr>
          <t>Yamir Adrian Gomez:
CARGO DE ERIKA ROMO QUE PASO A AUX I</t>
        </r>
      </text>
    </comment>
    <comment ref="H271" authorId="0" shapeId="0" xr:uid="{2DEBC6E8-9AC8-49D0-9A8E-2FD0C8167084}">
      <text>
        <r>
          <rPr>
            <b/>
            <sz val="9"/>
            <color indexed="81"/>
            <rFont val="Tahoma"/>
            <family val="2"/>
          </rPr>
          <t>Yamir Adrian Gomez:</t>
        </r>
        <r>
          <rPr>
            <sz val="9"/>
            <color indexed="81"/>
            <rFont val="Tahoma"/>
            <family val="2"/>
          </rPr>
          <t xml:space="preserve">
08/01/26</t>
        </r>
      </text>
    </comment>
    <comment ref="D272" authorId="0" shapeId="0" xr:uid="{BE4A3051-45B4-4390-AD67-86A58B9B4460}">
      <text>
        <r>
          <rPr>
            <b/>
            <sz val="9"/>
            <color indexed="81"/>
            <rFont val="Tahoma"/>
            <family val="2"/>
          </rPr>
          <t>Yamir Adrian Gomez:</t>
        </r>
        <r>
          <rPr>
            <sz val="9"/>
            <color indexed="81"/>
            <rFont val="Tahoma"/>
            <family val="2"/>
          </rPr>
          <t xml:space="preserve">
Cargo de Tesoreria</t>
        </r>
      </text>
    </comment>
    <comment ref="S272" authorId="0" shapeId="0" xr:uid="{D0AAD926-8617-4FC0-AF5D-CAAA9A30BC5B}">
      <text>
        <r>
          <rPr>
            <b/>
            <sz val="8"/>
            <color indexed="81"/>
            <rFont val="Tahoma"/>
            <family val="2"/>
          </rPr>
          <t>Yamir Adrian Gomez:</t>
        </r>
        <r>
          <rPr>
            <sz val="8"/>
            <color indexed="81"/>
            <rFont val="Tahoma"/>
            <family val="2"/>
          </rPr>
          <t xml:space="preserve">
TECNICO PROFESIONAL EN DISTRIBUCIÓN COMERCIAL, BACHILLER COMERCIAL, CURSO DE SEGURIDAD BANRIA, TALLER SOBRE PRINCIPIOS DE ECONOMIA SOLIDARIA, SEMINARIO DE INVESTIGACION Y METODOLOGIA Y PERFIL DE UN INVESTIGADOR.</t>
        </r>
      </text>
    </comment>
    <comment ref="C273" authorId="0" shapeId="0" xr:uid="{F9D42138-40B5-46C0-A884-F6E9F1217657}">
      <text>
        <r>
          <rPr>
            <b/>
            <sz val="9"/>
            <color indexed="81"/>
            <rFont val="Tahoma"/>
            <family val="2"/>
          </rPr>
          <t>Yamir Adrian Gomez:</t>
        </r>
        <r>
          <rPr>
            <sz val="9"/>
            <color indexed="81"/>
            <rFont val="Tahoma"/>
            <family val="2"/>
          </rPr>
          <t xml:space="preserve">
cargo de JOSE LUIS LOPEZ  QUIEN PASO A AUX I DESDE 01/08/26.</t>
        </r>
      </text>
    </comment>
    <comment ref="S273" authorId="0" shapeId="0" xr:uid="{3C24247F-1455-4E4A-AB5A-4717EC575178}">
      <text>
        <r>
          <rPr>
            <b/>
            <sz val="8"/>
            <color indexed="81"/>
            <rFont val="Tahoma"/>
            <family val="2"/>
          </rPr>
          <t>Yamir Adrian Gomez:</t>
        </r>
        <r>
          <rPr>
            <sz val="8"/>
            <color indexed="81"/>
            <rFont val="Tahoma"/>
            <family val="2"/>
          </rPr>
          <t xml:space="preserve">
ADMINISTRACION DE EMPRESAS, CURSO CONTABILIDAD INTERMEDIA, BACHILLER PROMOCION SOCIAL, CURSO WINDOWS95, WORD 7,,0 EXCEL 7,0 POWER POINT</t>
        </r>
      </text>
    </comment>
    <comment ref="S274" authorId="0" shapeId="0" xr:uid="{2CED86F2-15DA-4131-ADCA-3D698CCA28D2}">
      <text>
        <r>
          <rPr>
            <b/>
            <sz val="8"/>
            <color indexed="81"/>
            <rFont val="Tahoma"/>
            <family val="2"/>
          </rPr>
          <t>Yamir Adrian Gomez:</t>
        </r>
        <r>
          <rPr>
            <sz val="8"/>
            <color indexed="81"/>
            <rFont val="Tahoma"/>
            <family val="2"/>
          </rPr>
          <t xml:space="preserve">
BACHILER ACADEMICO. EXEL AVANZADO</t>
        </r>
      </text>
    </comment>
    <comment ref="C275" authorId="0" shapeId="0" xr:uid="{A8D5ADC0-24A8-4E4A-B23C-82482188F1B1}">
      <text>
        <r>
          <rPr>
            <b/>
            <sz val="9"/>
            <color indexed="81"/>
            <rFont val="Tahoma"/>
            <family val="2"/>
          </rPr>
          <t>Yamir Adrian Gomez:</t>
        </r>
        <r>
          <rPr>
            <sz val="9"/>
            <color indexed="81"/>
            <rFont val="Tahoma"/>
            <family val="2"/>
          </rPr>
          <t xml:space="preserve">
CARGO DE NATALY ALVAREZ</t>
        </r>
      </text>
    </comment>
    <comment ref="S275" authorId="0" shapeId="0" xr:uid="{B02FEDA1-0F04-4BD7-BB9B-5633DAB7302A}">
      <text>
        <r>
          <rPr>
            <b/>
            <sz val="8"/>
            <color indexed="81"/>
            <rFont val="Tahoma"/>
            <family val="2"/>
          </rPr>
          <t>Yamir Adrian Gomez:</t>
        </r>
        <r>
          <rPr>
            <sz val="8"/>
            <color indexed="81"/>
            <rFont val="Tahoma"/>
            <family val="2"/>
          </rPr>
          <t xml:space="preserve">
CAPACITACION DE CALIDAD Y SERVICIO AL CLIENTE, CAPACITACION PARA EL MEJORAMIENTO DE CONTACT CENTER, INFORMATICA BASICA</t>
        </r>
      </text>
    </comment>
    <comment ref="C277" authorId="0" shapeId="0" xr:uid="{7E341BEC-23A9-4320-A0D3-F6ED1E7A4E9C}">
      <text>
        <r>
          <rPr>
            <b/>
            <sz val="9"/>
            <color indexed="81"/>
            <rFont val="Tahoma"/>
            <family val="2"/>
          </rPr>
          <t>Yamir Adrian Gomez:</t>
        </r>
        <r>
          <rPr>
            <sz val="9"/>
            <color indexed="81"/>
            <rFont val="Tahoma"/>
            <family val="2"/>
          </rPr>
          <t xml:space="preserve">
CARGO DE ALMACEN. COM FUNC GES CLIENTES</t>
        </r>
      </text>
    </comment>
    <comment ref="S278" authorId="0" shapeId="0" xr:uid="{13387A81-7D45-47A3-905F-F527DB21FA12}">
      <text>
        <r>
          <rPr>
            <b/>
            <sz val="8"/>
            <color indexed="81"/>
            <rFont val="Tahoma"/>
            <family val="2"/>
          </rPr>
          <t>Yamir Adrian Gomez:</t>
        </r>
        <r>
          <rPr>
            <sz val="8"/>
            <color indexed="81"/>
            <rFont val="Tahoma"/>
            <family val="2"/>
          </rPr>
          <t xml:space="preserve">
TECNICO EN ELECTRONICA Y MANTENIMIENTO DE COMPUTADORES. AUXILIAR EN SISTEMAS. TECNICO I INGLES (SENA)</t>
        </r>
      </text>
    </comment>
    <comment ref="S279" authorId="0" shapeId="0" xr:uid="{08580E67-B47B-4D90-B285-124481BDE113}">
      <text>
        <r>
          <rPr>
            <b/>
            <sz val="8"/>
            <color indexed="81"/>
            <rFont val="Tahoma"/>
            <family val="2"/>
          </rPr>
          <t>Yamir Adrian Gomez:</t>
        </r>
        <r>
          <rPr>
            <sz val="8"/>
            <color indexed="81"/>
            <rFont val="Tahoma"/>
            <family val="2"/>
          </rPr>
          <t xml:space="preserve">
CURSO CONTAC CENTER, EXCEL BASICO, INFORMATICA BASICA</t>
        </r>
      </text>
    </comment>
    <comment ref="S280" authorId="0" shapeId="0" xr:uid="{CB5CC222-8E88-49B5-9CD3-1E088E171249}">
      <text>
        <r>
          <rPr>
            <b/>
            <sz val="8"/>
            <color indexed="81"/>
            <rFont val="Tahoma"/>
            <family val="2"/>
          </rPr>
          <t>Yamir Adrian Gomez:</t>
        </r>
        <r>
          <rPr>
            <sz val="8"/>
            <color indexed="81"/>
            <rFont val="Tahoma"/>
            <family val="2"/>
          </rPr>
          <t xml:space="preserve">
BACHILLER COMERCIAL, DIPLOMADO ESCUELA DE CIUDADANIA, TALLER ELECTRICIDAD BASICA, INFORMATICA BASICA</t>
        </r>
      </text>
    </comment>
    <comment ref="S281" authorId="0" shapeId="0" xr:uid="{DD34A4B7-250D-4F54-8C77-46977D191652}">
      <text>
        <r>
          <rPr>
            <b/>
            <sz val="8"/>
            <color indexed="81"/>
            <rFont val="Tahoma"/>
            <family val="2"/>
          </rPr>
          <t>Yamir Adrian Gomez:</t>
        </r>
        <r>
          <rPr>
            <sz val="8"/>
            <color indexed="81"/>
            <rFont val="Tahoma"/>
            <family val="2"/>
          </rPr>
          <t xml:space="preserve">
 INGENIERO DE SISTEMAS.TECNICO PROFESIONAL EN RELACIONES INDUSTRIALES.</t>
        </r>
      </text>
    </comment>
    <comment ref="S282" authorId="0" shapeId="0" xr:uid="{AFE0AA0B-E0EF-4542-A09C-035023EA27F4}">
      <text>
        <r>
          <rPr>
            <b/>
            <sz val="8"/>
            <color indexed="81"/>
            <rFont val="Tahoma"/>
            <family val="2"/>
          </rPr>
          <t>Yamir Adrian Gomez:</t>
        </r>
        <r>
          <rPr>
            <sz val="8"/>
            <color indexed="81"/>
            <rFont val="Tahoma"/>
            <family val="2"/>
          </rPr>
          <t xml:space="preserve">
BACHILLER ACADEMICO</t>
        </r>
      </text>
    </comment>
    <comment ref="D283" authorId="0" shapeId="0" xr:uid="{4457CF6A-D729-4D2E-A0C3-77FAF9B490A7}">
      <text>
        <r>
          <rPr>
            <b/>
            <sz val="9"/>
            <color indexed="81"/>
            <rFont val="Tahoma"/>
            <family val="2"/>
          </rPr>
          <t>Yamir Adrian Gomez:</t>
        </r>
        <r>
          <rPr>
            <sz val="9"/>
            <color indexed="81"/>
            <rFont val="Tahoma"/>
            <family val="2"/>
          </rPr>
          <t xml:space="preserve">
TRASLADO DESDE CARTERA A PARTIR DEL 15/04/25.</t>
        </r>
      </text>
    </comment>
    <comment ref="S283" authorId="0" shapeId="0" xr:uid="{52E7F572-94FD-4554-B121-A2F41583088A}">
      <text>
        <r>
          <rPr>
            <b/>
            <sz val="8"/>
            <color indexed="81"/>
            <rFont val="Tahoma"/>
            <family val="2"/>
          </rPr>
          <t>Yamir Adrian Gomez:</t>
        </r>
        <r>
          <rPr>
            <sz val="8"/>
            <color indexed="81"/>
            <rFont val="Tahoma"/>
            <family val="2"/>
          </rPr>
          <t xml:space="preserve">
ECONOMISTA - ESPECIALISTA EN  GESTION PARA EL DESARROLLO EMPRESARIAL.</t>
        </r>
      </text>
    </comment>
    <comment ref="S284" authorId="0" shapeId="0" xr:uid="{C7822AE6-B723-4BBC-BC7F-C4C72D0B6CDD}">
      <text>
        <r>
          <rPr>
            <b/>
            <sz val="8"/>
            <color indexed="81"/>
            <rFont val="Tahoma"/>
            <family val="2"/>
          </rPr>
          <t>Yamir Adrian Gomez:</t>
        </r>
        <r>
          <rPr>
            <sz val="8"/>
            <color indexed="81"/>
            <rFont val="Tahoma"/>
            <family val="2"/>
          </rPr>
          <t xml:space="preserve">
ING. DE SISTEMAS MASTER EN CIENCIAS DE LA COMPUTACION</t>
        </r>
      </text>
    </comment>
    <comment ref="C285" authorId="0" shapeId="0" xr:uid="{F6A8A8A7-9364-4111-AA33-294EC7624B19}">
      <text>
        <r>
          <rPr>
            <b/>
            <sz val="9"/>
            <color indexed="81"/>
            <rFont val="Tahoma"/>
            <family val="2"/>
          </rPr>
          <t>Yamir Adrian Gomez:</t>
        </r>
        <r>
          <rPr>
            <sz val="9"/>
            <color indexed="81"/>
            <rFont val="Tahoma"/>
            <family val="2"/>
          </rPr>
          <t xml:space="preserve">
CARGO DE OMAIRA BRAVO QUIEN PASO A JFE OFIC CONTROL INTERNO. ENCARGO DESDE 21/03/25.</t>
        </r>
      </text>
    </comment>
    <comment ref="S285" authorId="0" shapeId="0" xr:uid="{D6FD1F05-2507-46B2-AD09-3DD79ECA0FE7}">
      <text>
        <r>
          <rPr>
            <b/>
            <sz val="8"/>
            <color indexed="81"/>
            <rFont val="Tahoma"/>
            <family val="2"/>
          </rPr>
          <t>Yamir Adrian Gomez:</t>
        </r>
        <r>
          <rPr>
            <sz val="8"/>
            <color indexed="81"/>
            <rFont val="Tahoma"/>
            <family val="2"/>
          </rPr>
          <t xml:space="preserve">
ABOGADA, ESPECILIALISTA EN INSTITUCIONES JURIDICAS DE LA SEGURIDAD SOCILACENCIADA EN CIENCIAS SOCIALES.  DIPLOMADO EN CONCILIACION Y MECANISMO ALTERNATIVO DE SOLUCION DE CONFLICTOS. CURSOS BASICOS</t>
        </r>
      </text>
    </comment>
    <comment ref="C286" authorId="0" shapeId="0" xr:uid="{BC2E860A-916C-4903-BDA6-E8327B5D0A58}">
      <text>
        <r>
          <rPr>
            <b/>
            <sz val="9"/>
            <color indexed="81"/>
            <rFont val="Tahoma"/>
            <family val="2"/>
          </rPr>
          <t>Yamir Adrian Gomez:</t>
        </r>
        <r>
          <rPr>
            <sz val="9"/>
            <color indexed="81"/>
            <rFont val="Tahoma"/>
            <family val="2"/>
          </rPr>
          <t xml:space="preserve">
CARGO DE VALERIA TRUJILLO</t>
        </r>
      </text>
    </comment>
    <comment ref="S286" authorId="0" shapeId="0" xr:uid="{915A2746-87E4-4EA6-A194-E6F378C95879}">
      <text>
        <r>
          <rPr>
            <b/>
            <sz val="8"/>
            <color indexed="81"/>
            <rFont val="Tahoma"/>
            <family val="2"/>
          </rPr>
          <t>Yamir Adrian Gomez:</t>
        </r>
        <r>
          <rPr>
            <sz val="8"/>
            <color indexed="81"/>
            <rFont val="Tahoma"/>
            <family val="2"/>
          </rPr>
          <t xml:space="preserve">
ADMINISTRACION DE EMPRESAS. FORMACION EN SECRETARIADO.</t>
        </r>
      </text>
    </comment>
    <comment ref="S287" authorId="0" shapeId="0" xr:uid="{9E546162-A32E-4297-93C3-6FD1F1AED5AD}">
      <text>
        <r>
          <rPr>
            <b/>
            <sz val="8"/>
            <color indexed="81"/>
            <rFont val="Tahoma"/>
            <family val="2"/>
          </rPr>
          <t>Yamir Adrian Gomez:</t>
        </r>
        <r>
          <rPr>
            <sz val="8"/>
            <color indexed="81"/>
            <rFont val="Tahoma"/>
            <family val="2"/>
          </rPr>
          <t xml:space="preserve">
10 SEMESTRES INGENIERIA DE SISTEMAS,  INFORMATICA BASICA.TRABAJO SEGURO EN ALTURAS.</t>
        </r>
      </text>
    </comment>
    <comment ref="D288" authorId="0" shapeId="0" xr:uid="{76DA299E-C09B-4C7C-8BE8-E832CD81B482}">
      <text>
        <r>
          <rPr>
            <b/>
            <sz val="9"/>
            <color indexed="81"/>
            <rFont val="Tahoma"/>
            <family val="2"/>
          </rPr>
          <t>Yamir Adrian Gomez:</t>
        </r>
        <r>
          <rPr>
            <sz val="9"/>
            <color indexed="81"/>
            <rFont val="Tahoma"/>
            <family val="2"/>
          </rPr>
          <t xml:space="preserve">
caRGO DE FABIOLA ROSALES - prespuesto QUIEN ESTA DE TEC II en recaudos</t>
        </r>
      </text>
    </comment>
    <comment ref="C289" authorId="0" shapeId="0" xr:uid="{4DCF5E10-B695-4D12-858A-DC55EBD43E1D}">
      <text>
        <r>
          <rPr>
            <b/>
            <sz val="9"/>
            <color indexed="81"/>
            <rFont val="Tahoma"/>
            <family val="2"/>
          </rPr>
          <t>Yamir Adrian Gomez:</t>
        </r>
        <r>
          <rPr>
            <sz val="9"/>
            <color indexed="81"/>
            <rFont val="Tahoma"/>
            <family val="2"/>
          </rPr>
          <t xml:space="preserve">
Cargo de Jaime Ormidas quien paso a PII a partir del 01/04/25.</t>
        </r>
      </text>
    </comment>
    <comment ref="D289" authorId="0" shapeId="0" xr:uid="{03EF6DF4-983E-46E2-B4F3-F714820097B2}">
      <text>
        <r>
          <rPr>
            <b/>
            <sz val="9"/>
            <color indexed="81"/>
            <rFont val="Tahoma"/>
            <family val="2"/>
          </rPr>
          <t>Yamir Adrian Gomez:</t>
        </r>
        <r>
          <rPr>
            <sz val="9"/>
            <color indexed="81"/>
            <rFont val="Tahoma"/>
            <family val="2"/>
          </rPr>
          <t xml:space="preserve">
COM FUN DIV PERDIDAS DESDE 22/09/25. BIENE DE DIV ADMIN-ALMACEN</t>
        </r>
      </text>
    </comment>
    <comment ref="C290" authorId="2" shapeId="0" xr:uid="{4A289739-8826-4D86-9C37-0621F8105149}">
      <text>
        <r>
          <rPr>
            <b/>
            <sz val="9"/>
            <color indexed="81"/>
            <rFont val="Tahoma"/>
            <family val="2"/>
          </rPr>
          <t>YAMIR:</t>
        </r>
        <r>
          <rPr>
            <sz val="9"/>
            <color indexed="81"/>
            <rFont val="Tahoma"/>
            <family val="2"/>
          </rPr>
          <t xml:space="preserve">
CARGO DE CARATAR - JAIRO CUERO</t>
        </r>
      </text>
    </comment>
    <comment ref="S290" authorId="0" shapeId="0" xr:uid="{B8DA3619-98E2-4BBC-8B16-66EC5AB06C10}">
      <text>
        <r>
          <rPr>
            <b/>
            <sz val="9"/>
            <color indexed="81"/>
            <rFont val="Tahoma"/>
            <family val="2"/>
          </rPr>
          <t>Yamir Adrian Gomez:</t>
        </r>
        <r>
          <rPr>
            <sz val="9"/>
            <color indexed="81"/>
            <rFont val="Tahoma"/>
            <family val="2"/>
          </rPr>
          <t xml:space="preserve">
BACHILLER ACADEMICO</t>
        </r>
      </text>
    </comment>
    <comment ref="S291" authorId="0" shapeId="0" xr:uid="{5FF4B0E5-C876-4BEA-8DAB-BFB8B16FE10C}">
      <text>
        <r>
          <rPr>
            <b/>
            <sz val="8"/>
            <color indexed="81"/>
            <rFont val="Tahoma"/>
            <family val="2"/>
          </rPr>
          <t>Yamir Adrian Gomez:</t>
        </r>
        <r>
          <rPr>
            <sz val="8"/>
            <color indexed="81"/>
            <rFont val="Tahoma"/>
            <family val="2"/>
          </rPr>
          <t xml:space="preserve">
BACHILLER ACADEMICO</t>
        </r>
      </text>
    </comment>
    <comment ref="C292" authorId="2" shapeId="0" xr:uid="{15139E89-9A9D-42B3-8F54-B2B1DEC53044}">
      <text>
        <r>
          <rPr>
            <b/>
            <sz val="9"/>
            <color indexed="81"/>
            <rFont val="Tahoma"/>
            <family val="2"/>
          </rPr>
          <t>YAMIR:</t>
        </r>
        <r>
          <rPr>
            <sz val="9"/>
            <color indexed="81"/>
            <rFont val="Tahoma"/>
            <family val="2"/>
          </rPr>
          <t xml:space="preserve">
CARGO DE KAREN BENAVIDES</t>
        </r>
      </text>
    </comment>
    <comment ref="S292" authorId="0" shapeId="0" xr:uid="{58C297F7-38CF-42BB-9E2E-0676B43B38F6}">
      <text>
        <r>
          <rPr>
            <b/>
            <sz val="9"/>
            <color indexed="81"/>
            <rFont val="Tahoma"/>
            <family val="2"/>
          </rPr>
          <t>Yamir Adrian Gomez:</t>
        </r>
        <r>
          <rPr>
            <sz val="9"/>
            <color indexed="81"/>
            <rFont val="Tahoma"/>
            <family val="2"/>
          </rPr>
          <t xml:space="preserve">
BACHILLER ACADEMICO</t>
        </r>
      </text>
    </comment>
    <comment ref="C293" authorId="0" shapeId="0" xr:uid="{84B855F4-99DD-4A2E-8FC5-126ED041398D}">
      <text>
        <r>
          <rPr>
            <b/>
            <sz val="9"/>
            <color indexed="81"/>
            <rFont val="Tahoma"/>
            <family val="2"/>
          </rPr>
          <t>Yamir Adrian Gomez:</t>
        </r>
        <r>
          <rPr>
            <sz val="9"/>
            <color indexed="81"/>
            <rFont val="Tahoma"/>
            <family val="2"/>
          </rPr>
          <t xml:space="preserve">
CARGO DE MARCELA BASTIDAS. </t>
        </r>
      </text>
    </comment>
    <comment ref="S294" authorId="0" shapeId="0" xr:uid="{C10334B8-1429-4E3B-98C5-685CD4A1BF7A}">
      <text>
        <r>
          <rPr>
            <b/>
            <sz val="8"/>
            <color indexed="81"/>
            <rFont val="Tahoma"/>
            <family val="2"/>
          </rPr>
          <t>Yamir Adrian Gomez:</t>
        </r>
        <r>
          <rPr>
            <sz val="8"/>
            <color indexed="81"/>
            <rFont val="Tahoma"/>
            <family val="2"/>
          </rPr>
          <t xml:space="preserve">
ADMINISTRACION DE EMPRESAS, COMPETENCIAS PAR SECRETARIAS EJECUTIVAS, CURSO DE VENTAS Y SERVICIO AL CLIENTE, </t>
        </r>
      </text>
    </comment>
    <comment ref="S295" authorId="0" shapeId="0" xr:uid="{27CF7E6C-BF80-4D67-99DF-08949D01D666}">
      <text>
        <r>
          <rPr>
            <b/>
            <sz val="8"/>
            <color indexed="81"/>
            <rFont val="Tahoma"/>
            <family val="2"/>
          </rPr>
          <t>Yamir Adrian Gomez:</t>
        </r>
        <r>
          <rPr>
            <sz val="8"/>
            <color indexed="81"/>
            <rFont val="Tahoma"/>
            <family val="2"/>
          </rPr>
          <t xml:space="preserve">
Especialista en derecho empresarial.ING. ELECTRICISTA. ESPECIALISTA EN ADMON. Y GERENCIA INSTITUCIONAL,ABOGADO, BASICO EN SISTEMAS.</t>
        </r>
      </text>
    </comment>
    <comment ref="S296" authorId="0" shapeId="0" xr:uid="{089D09C5-6B95-4F18-8855-48D16CCDAC99}">
      <text>
        <r>
          <rPr>
            <b/>
            <sz val="8"/>
            <color indexed="81"/>
            <rFont val="Tahoma"/>
            <family val="2"/>
          </rPr>
          <t>Yamir Adrian Gomez:</t>
        </r>
        <r>
          <rPr>
            <sz val="8"/>
            <color indexed="81"/>
            <rFont val="Tahoma"/>
            <family val="2"/>
          </rPr>
          <t xml:space="preserve">
ADMINISTRADORA DE EMPRESAS, EXEL BASICO.</t>
        </r>
      </text>
    </comment>
    <comment ref="C297" authorId="0" shapeId="0" xr:uid="{40574801-0BCC-44E9-BB9A-E34DFAF1B638}">
      <text>
        <r>
          <rPr>
            <b/>
            <sz val="9"/>
            <color indexed="81"/>
            <rFont val="Tahoma"/>
            <family val="2"/>
          </rPr>
          <t>Yamir Adrian Gomez:</t>
        </r>
        <r>
          <rPr>
            <sz val="9"/>
            <color indexed="81"/>
            <rFont val="Tahoma"/>
            <family val="2"/>
          </rPr>
          <t xml:space="preserve">
Traslado desde el 03/02/25.</t>
        </r>
      </text>
    </comment>
    <comment ref="S297" authorId="0" shapeId="0" xr:uid="{DFCE6FFD-02AB-4B15-B1F0-3A1D3021EEC0}">
      <text>
        <r>
          <rPr>
            <b/>
            <sz val="8"/>
            <color indexed="81"/>
            <rFont val="Tahoma"/>
            <family val="2"/>
          </rPr>
          <t>Yamir Adrian Gomez:</t>
        </r>
        <r>
          <rPr>
            <sz val="8"/>
            <color indexed="81"/>
            <rFont val="Tahoma"/>
            <family val="2"/>
          </rPr>
          <t xml:space="preserve">
INGENIERO ELECTRICISTA</t>
        </r>
      </text>
    </comment>
    <comment ref="S298" authorId="0" shapeId="0" xr:uid="{8BEF7F97-992B-4A75-A55D-67E4A43AE230}">
      <text>
        <r>
          <rPr>
            <b/>
            <sz val="8"/>
            <color indexed="81"/>
            <rFont val="Tahoma"/>
            <family val="2"/>
          </rPr>
          <t>Yamir Adrian Gomez:</t>
        </r>
        <r>
          <rPr>
            <sz val="8"/>
            <color indexed="81"/>
            <rFont val="Tahoma"/>
            <family val="2"/>
          </rPr>
          <t xml:space="preserve">
ADMINISTRADORA DE EMPRESAS, EXEL BASICO.</t>
        </r>
      </text>
    </comment>
    <comment ref="C299" authorId="2" shapeId="0" xr:uid="{F70656FB-0DE9-48E7-AF28-606ECD1CE793}">
      <text>
        <r>
          <rPr>
            <b/>
            <sz val="9"/>
            <color indexed="81"/>
            <rFont val="Tahoma"/>
            <family val="2"/>
          </rPr>
          <t>YAMIR:</t>
        </r>
        <r>
          <rPr>
            <sz val="9"/>
            <color indexed="81"/>
            <rFont val="Tahoma"/>
            <family val="2"/>
          </rPr>
          <t xml:space="preserve">
CARGO DE ALBERTO GARZON-PS DESDE EL 09/09/2025</t>
        </r>
      </text>
    </comment>
    <comment ref="S299" authorId="0" shapeId="0" xr:uid="{119D35E0-CB1A-4C01-85B4-6B5B6686F102}">
      <text>
        <r>
          <rPr>
            <b/>
            <sz val="8"/>
            <color indexed="81"/>
            <rFont val="Tahoma"/>
            <family val="2"/>
          </rPr>
          <t>Yamir Adrian Gomez:</t>
        </r>
        <r>
          <rPr>
            <sz val="8"/>
            <color indexed="81"/>
            <rFont val="Tahoma"/>
            <family val="2"/>
          </rPr>
          <t xml:space="preserve">
SECRETARIA TECNICA COMERCIAL., TEGNOLOGO EN ADMINISTRACION DE EMPRESAS. ADMINISTRADORA DE EMPRESAS</t>
        </r>
      </text>
    </comment>
    <comment ref="S300" authorId="0" shapeId="0" xr:uid="{6DE58672-D4EB-4C1E-9C2A-F0E44C2A6572}">
      <text>
        <r>
          <rPr>
            <b/>
            <sz val="8"/>
            <color indexed="81"/>
            <rFont val="Tahoma"/>
            <family val="2"/>
          </rPr>
          <t>Yamir Adrian Gomez:</t>
        </r>
        <r>
          <rPr>
            <sz val="8"/>
            <color indexed="81"/>
            <rFont val="Tahoma"/>
            <family val="2"/>
          </rPr>
          <t xml:space="preserve">
BACHILLER COMERCIAL, EXEL AVANZADO</t>
        </r>
      </text>
    </comment>
    <comment ref="S301" authorId="0" shapeId="0" xr:uid="{8B7DEE10-8088-452A-835A-A4AF94752CB5}">
      <text>
        <r>
          <rPr>
            <b/>
            <sz val="8"/>
            <color indexed="81"/>
            <rFont val="Tahoma"/>
            <family val="2"/>
          </rPr>
          <t>Yamir Adrian Gomez:</t>
        </r>
        <r>
          <rPr>
            <sz val="8"/>
            <color indexed="81"/>
            <rFont val="Tahoma"/>
            <family val="2"/>
          </rPr>
          <t xml:space="preserve">
TECNICO ELECTRICISTA, BACHILLER, FORMACION AVANZADO TRABAJO SEGURO EN ALTURAS</t>
        </r>
      </text>
    </comment>
    <comment ref="D302" authorId="0" shapeId="0" xr:uid="{3CCFE69C-EE89-4C73-A52C-7C0D2A8F6874}">
      <text>
        <r>
          <rPr>
            <b/>
            <sz val="9"/>
            <color indexed="81"/>
            <rFont val="Tahoma"/>
            <family val="2"/>
          </rPr>
          <t>Yamir Adrian Gomez:</t>
        </r>
        <r>
          <rPr>
            <sz val="9"/>
            <color indexed="81"/>
            <rFont val="Tahoma"/>
            <family val="2"/>
          </rPr>
          <t xml:space="preserve">
ENCARGO DE AUX I DESDE 21/07/26. CARGO DE PABLO REVELO.CARGO DE PERDIDAS</t>
        </r>
      </text>
    </comment>
    <comment ref="F302" authorId="0" shapeId="0" xr:uid="{DF93E29D-2D58-44AE-BC70-A11EA7F8C970}">
      <text>
        <r>
          <rPr>
            <b/>
            <sz val="9"/>
            <color indexed="81"/>
            <rFont val="Tahoma"/>
            <family val="2"/>
          </rPr>
          <t>Yamir Adrian Gomez:</t>
        </r>
        <r>
          <rPr>
            <sz val="9"/>
            <color indexed="81"/>
            <rFont val="Tahoma"/>
            <family val="2"/>
          </rPr>
          <t xml:space="preserve">
COM FUN CT DESDE 21/07/26.</t>
        </r>
      </text>
    </comment>
    <comment ref="S302" authorId="0" shapeId="0" xr:uid="{77E1688D-AE63-4D91-99E6-C6330E3E2E65}">
      <text>
        <r>
          <rPr>
            <b/>
            <sz val="8"/>
            <color indexed="81"/>
            <rFont val="Tahoma"/>
            <family val="2"/>
          </rPr>
          <t>Yamir Adrian Gomez:</t>
        </r>
        <r>
          <rPr>
            <sz val="8"/>
            <color indexed="81"/>
            <rFont val="Tahoma"/>
            <family val="2"/>
          </rPr>
          <t xml:space="preserve">
TECNICO MTO. DE EQUIPOD DE COMPUTO. TECNICO EN MANTENIMIENTO DE SOTFWARE Y HARWARE. INGLES BASICO I II Y III</t>
        </r>
      </text>
    </comment>
    <comment ref="F303" authorId="0" shapeId="0" xr:uid="{0A2B5195-31C6-40A3-A5CD-8BB59A5C8EAD}">
      <text>
        <r>
          <rPr>
            <b/>
            <sz val="9"/>
            <color indexed="81"/>
            <rFont val="Tahoma"/>
            <family val="2"/>
          </rPr>
          <t>Yamir Adrian Gomez:</t>
        </r>
        <r>
          <rPr>
            <sz val="9"/>
            <color indexed="81"/>
            <rFont val="Tahoma"/>
            <family val="2"/>
          </rPr>
          <t xml:space="preserve">
COM FUNC CT DESDE 03/07/26</t>
        </r>
      </text>
    </comment>
    <comment ref="S303" authorId="0" shapeId="0" xr:uid="{5C26724C-D22B-443B-B7F8-6950CE091D3E}">
      <text>
        <r>
          <rPr>
            <b/>
            <sz val="8"/>
            <color indexed="81"/>
            <rFont val="Tahoma"/>
            <family val="2"/>
          </rPr>
          <t>Yamir Adrian Gomez:</t>
        </r>
        <r>
          <rPr>
            <sz val="8"/>
            <color indexed="81"/>
            <rFont val="Tahoma"/>
            <family val="2"/>
          </rPr>
          <t xml:space="preserve">
BACHILLER ACADEMICO. INFORMATICA BASICA, DECORACION DE EVENTOS</t>
        </r>
      </text>
    </comment>
    <comment ref="S304" authorId="0" shapeId="0" xr:uid="{0CEBFD71-8232-4AD6-AD9D-F45706C26F64}">
      <text>
        <r>
          <rPr>
            <b/>
            <sz val="8"/>
            <color indexed="81"/>
            <rFont val="Tahoma"/>
            <family val="2"/>
          </rPr>
          <t>Yamir Adrian Gomez:</t>
        </r>
        <r>
          <rPr>
            <sz val="8"/>
            <color indexed="81"/>
            <rFont val="Tahoma"/>
            <family val="2"/>
          </rPr>
          <t xml:space="preserve">
TECNICO ELECTRICISTA, 4 AÑOS DE SECUNDARIA. </t>
        </r>
      </text>
    </comment>
    <comment ref="S305" authorId="0" shapeId="0" xr:uid="{4DD40DBA-0202-40E1-B40C-813B3C75A2D4}">
      <text>
        <r>
          <rPr>
            <b/>
            <sz val="8"/>
            <color indexed="81"/>
            <rFont val="Tahoma"/>
            <family val="2"/>
          </rPr>
          <t>Yamir Adrian Gomez:</t>
        </r>
        <r>
          <rPr>
            <sz val="8"/>
            <color indexed="81"/>
            <rFont val="Tahoma"/>
            <family val="2"/>
          </rPr>
          <t xml:space="preserve">
TECNICO ELECTRICISTA, CURSO ELECTRICIDAD BASICA Y MANEJO DE MEDIDORES / OTROS</t>
        </r>
      </text>
    </comment>
    <comment ref="S306" authorId="0" shapeId="0" xr:uid="{BE3FF501-B2C5-4AB5-87FE-9DB52BB7B7FF}">
      <text>
        <r>
          <rPr>
            <b/>
            <sz val="8"/>
            <color indexed="81"/>
            <rFont val="Tahoma"/>
            <family val="2"/>
          </rPr>
          <t>Yamir Adrian Gomez:</t>
        </r>
        <r>
          <rPr>
            <sz val="8"/>
            <color indexed="81"/>
            <rFont val="Tahoma"/>
            <family val="2"/>
          </rPr>
          <t xml:space="preserve">
TECNICO ELECTRISISTA. INSTALADOR LECTOR BACHILLER TECNICO, ESPECIALIDAD INFORMATICA</t>
        </r>
      </text>
    </comment>
    <comment ref="S307" authorId="0" shapeId="0" xr:uid="{0BB8C482-D93F-47AE-BB2B-066135C046FC}">
      <text>
        <r>
          <rPr>
            <b/>
            <sz val="8"/>
            <color indexed="81"/>
            <rFont val="Tahoma"/>
            <family val="2"/>
          </rPr>
          <t>Yamir Adrian Gomez:</t>
        </r>
        <r>
          <rPr>
            <sz val="8"/>
            <color indexed="81"/>
            <rFont val="Tahoma"/>
            <family val="2"/>
          </rPr>
          <t xml:space="preserve">
TECNICO ELECTRICISTA, BACHILLER ACADEMICO</t>
        </r>
      </text>
    </comment>
    <comment ref="C308" authorId="0" shapeId="0" xr:uid="{A73F8866-88D7-4C20-B1F9-5F1C8A94EC8E}">
      <text>
        <r>
          <rPr>
            <b/>
            <sz val="9"/>
            <color indexed="81"/>
            <rFont val="Tahoma"/>
            <family val="2"/>
          </rPr>
          <t>Yamir Adrian Gomez:</t>
        </r>
        <r>
          <rPr>
            <sz val="9"/>
            <color indexed="81"/>
            <rFont val="Tahoma"/>
            <family val="2"/>
          </rPr>
          <t xml:space="preserve">
Cargo de Jhon Paulo erazo quien ascendsio al cargo de operador subes desde 05/05/26.</t>
        </r>
      </text>
    </comment>
    <comment ref="S308" authorId="0" shapeId="0" xr:uid="{46EFA7D4-F19C-436D-B5C7-839B6D2F56BD}">
      <text>
        <r>
          <rPr>
            <b/>
            <sz val="8"/>
            <color indexed="81"/>
            <rFont val="Tahoma"/>
            <family val="2"/>
          </rPr>
          <t>Yamir Adrian Gomez:</t>
        </r>
        <r>
          <rPr>
            <sz val="8"/>
            <color indexed="81"/>
            <rFont val="Tahoma"/>
            <family val="2"/>
          </rPr>
          <t xml:space="preserve">
TECNICO ELECTRICISTA, BACHILLER. INFORMATICA BASICA, MECANICA Y MANTENIMIENTO DE COMPUTADORES.</t>
        </r>
      </text>
    </comment>
    <comment ref="D309" authorId="0" shapeId="0" xr:uid="{36D018EF-37BB-460F-B3A4-DC5CCB57904D}">
      <text>
        <r>
          <rPr>
            <b/>
            <sz val="8"/>
            <color indexed="81"/>
            <rFont val="Tahoma"/>
            <family val="2"/>
          </rPr>
          <t>Yamir Adrian Gomez:</t>
        </r>
        <r>
          <rPr>
            <sz val="8"/>
            <color indexed="81"/>
            <rFont val="Tahoma"/>
            <family val="2"/>
          </rPr>
          <t xml:space="preserve">
CARGO DESCONGELADO DE IPIALES Y PASO A PASTO DESDE EL 01/02/2018.</t>
        </r>
      </text>
    </comment>
    <comment ref="S309" authorId="0" shapeId="0" xr:uid="{817E66D9-20DF-4969-8D06-8237F33A9676}">
      <text>
        <r>
          <rPr>
            <b/>
            <sz val="8"/>
            <color indexed="81"/>
            <rFont val="Tahoma"/>
            <family val="2"/>
          </rPr>
          <t>Yamir Adrian Gomez:</t>
        </r>
        <r>
          <rPr>
            <sz val="8"/>
            <color indexed="81"/>
            <rFont val="Tahoma"/>
            <family val="2"/>
          </rPr>
          <t xml:space="preserve">
AVANZADO TRABAJO SEGURO EN ALTURAS, TECNOLOGO EN DELINIANTE DE ARQUITECTURA E INGENIERIA</t>
        </r>
      </text>
    </comment>
    <comment ref="D310" authorId="0" shapeId="0" xr:uid="{D95EE076-D5E6-4285-9030-8E8BCA9A8703}">
      <text>
        <r>
          <rPr>
            <b/>
            <sz val="8"/>
            <color indexed="81"/>
            <rFont val="Tahoma"/>
            <family val="2"/>
          </rPr>
          <t>Yamir Adrian Gomez:</t>
        </r>
        <r>
          <rPr>
            <sz val="8"/>
            <color indexed="81"/>
            <rFont val="Tahoma"/>
            <family val="2"/>
          </rPr>
          <t xml:space="preserve">
CARGO DESCONGELADO DE IPIALES Y PASO A PASTO. A PARTIR DEL 01/02/2018.</t>
        </r>
      </text>
    </comment>
    <comment ref="D311" authorId="0" shapeId="0" xr:uid="{776B86F5-84B7-48C0-A956-4422499056A5}">
      <text>
        <r>
          <rPr>
            <b/>
            <sz val="9"/>
            <color indexed="81"/>
            <rFont val="Tahoma"/>
            <family val="2"/>
          </rPr>
          <t>Yamir Adrian Gomez:</t>
        </r>
        <r>
          <rPr>
            <sz val="9"/>
            <color indexed="81"/>
            <rFont val="Tahoma"/>
            <family val="2"/>
          </rPr>
          <t xml:space="preserve">
libre por permiso sindical.mabel</t>
        </r>
      </text>
    </comment>
    <comment ref="S311" authorId="0" shapeId="0" xr:uid="{59A1D462-B340-4D64-923A-1416D6DD43E7}">
      <text>
        <r>
          <rPr>
            <b/>
            <sz val="8"/>
            <color indexed="81"/>
            <rFont val="Tahoma"/>
            <family val="2"/>
          </rPr>
          <t>Yamir Adrian Gomez:</t>
        </r>
        <r>
          <rPr>
            <sz val="8"/>
            <color indexed="81"/>
            <rFont val="Tahoma"/>
            <family val="2"/>
          </rPr>
          <t xml:space="preserve">
BACHILLER COMERCIAL, BASICO EN SISTEMAS</t>
        </r>
      </text>
    </comment>
    <comment ref="D312" authorId="1" shapeId="0" xr:uid="{1BEFE4C9-809A-423A-B5DE-580CBC9CE502}">
      <text>
        <r>
          <rPr>
            <b/>
            <sz val="9"/>
            <color indexed="81"/>
            <rFont val="Tahoma"/>
            <family val="2"/>
          </rPr>
          <t>YAMIR GOMEZ:</t>
        </r>
        <r>
          <rPr>
            <sz val="9"/>
            <color indexed="81"/>
            <rFont val="Tahoma"/>
            <family val="2"/>
          </rPr>
          <t xml:space="preserve">
Cargo de Iliana cortes. Planeacion y sistemas a partir del 08/10/21.Permiso sindical-ENCARGO</t>
        </r>
      </text>
    </comment>
    <comment ref="S312" authorId="0" shapeId="0" xr:uid="{179B1A2D-C60B-4D06-848F-32839F876483}">
      <text>
        <r>
          <rPr>
            <b/>
            <sz val="8"/>
            <color indexed="81"/>
            <rFont val="Tahoma"/>
            <family val="2"/>
          </rPr>
          <t>Yamir Adrian Gomez:</t>
        </r>
        <r>
          <rPr>
            <sz val="8"/>
            <color indexed="81"/>
            <rFont val="Tahoma"/>
            <family val="2"/>
          </rPr>
          <t xml:space="preserve">
TECNOLOGO EN ADMINISTRACION DE EMPRESAS</t>
        </r>
      </text>
    </comment>
    <comment ref="D313" authorId="1" shapeId="0" xr:uid="{672C016C-7526-498E-834F-6A6E00CD2FF6}">
      <text>
        <r>
          <rPr>
            <b/>
            <sz val="9"/>
            <color indexed="81"/>
            <rFont val="Tahoma"/>
            <family val="2"/>
          </rPr>
          <t>YAMIR GOMEZ:</t>
        </r>
        <r>
          <rPr>
            <sz val="9"/>
            <color indexed="81"/>
            <rFont val="Tahoma"/>
            <family val="2"/>
          </rPr>
          <t xml:space="preserve">
Cargo de Mauricio Jimenez. Centro Tecnico.Permiso sindical-ENCARGO</t>
        </r>
      </text>
    </comment>
    <comment ref="S313" authorId="0" shapeId="0" xr:uid="{C10BA6E9-8E53-4456-82C3-D18977A29245}">
      <text>
        <r>
          <rPr>
            <b/>
            <sz val="8"/>
            <color indexed="81"/>
            <rFont val="Tahoma"/>
            <family val="2"/>
          </rPr>
          <t>Yamir Adrian Gomez:</t>
        </r>
        <r>
          <rPr>
            <sz val="8"/>
            <color indexed="81"/>
            <rFont val="Tahoma"/>
            <family val="2"/>
          </rPr>
          <t xml:space="preserve">
TECNICO ELECTRICISTA</t>
        </r>
      </text>
    </comment>
    <comment ref="S314" authorId="0" shapeId="0" xr:uid="{682B977C-36B6-4085-A270-EA277BC556AF}">
      <text>
        <r>
          <rPr>
            <b/>
            <sz val="8"/>
            <color indexed="81"/>
            <rFont val="Tahoma"/>
            <family val="2"/>
          </rPr>
          <t>Yamir Adrian Gomez:</t>
        </r>
        <r>
          <rPr>
            <sz val="8"/>
            <color indexed="81"/>
            <rFont val="Tahoma"/>
            <family val="2"/>
          </rPr>
          <t xml:space="preserve">
INGENIERO  ELECTRICISTA,  ESPECILAISTA EN ALTA GERENCIA, ESPECILAISTA EN ADMINISTRACION DE EMPRESAS CONSTRUCTORAS</t>
        </r>
      </text>
    </comment>
    <comment ref="S315" authorId="0" shapeId="0" xr:uid="{09BEE20C-8528-4328-9F5B-932DD40E7764}">
      <text>
        <r>
          <rPr>
            <b/>
            <sz val="8"/>
            <color indexed="81"/>
            <rFont val="Tahoma"/>
            <family val="2"/>
          </rPr>
          <t>Yamir Adrian Gomez:</t>
        </r>
        <r>
          <rPr>
            <sz val="8"/>
            <color indexed="81"/>
            <rFont val="Tahoma"/>
            <family val="2"/>
          </rPr>
          <t xml:space="preserve">
ECONOMISTA - ESPECIALISTA EN PLANIFICACION Y DESARROLLO REGIONAL, SEMINARIO DE ADMINISTRACION MUNICIPAIL, SEMINARIO TALLER DE INVESTIGACION SOCIOECONOMICA, SEMINARIO DE ANALISIS DE APERTURA ECONOMICA, SEMINARIO DE ENCUENTRO DE ECOMIISTAS, PRIMER SEMINARIO DE CALIDAD TOTAL Y APERTURA ECONOMICA, SEMINARIO DE OFERENTES CUNDINAMARCAS, SEMINARIO DE ACTUALIZACIÒN DE COMERCIO EXTERIOR.</t>
        </r>
      </text>
    </comment>
    <comment ref="S316" authorId="0" shapeId="0" xr:uid="{CFBEC051-DEA5-4F16-8566-7F18D3B75D1C}">
      <text>
        <r>
          <rPr>
            <b/>
            <sz val="8"/>
            <color indexed="81"/>
            <rFont val="Tahoma"/>
            <family val="2"/>
          </rPr>
          <t>Yamir Adrian Gomez:</t>
        </r>
        <r>
          <rPr>
            <sz val="8"/>
            <color indexed="81"/>
            <rFont val="Tahoma"/>
            <family val="2"/>
          </rPr>
          <t xml:space="preserve">
TECNICO EN  ELECTRICIDAD, BACHILLER ACADEMICO, AUXILIAR EN SECRETARIADO COMERCIAL, FORMACION EN ELECTRICIDAD BASICA, FORMACION EN ETICA Y DESARROLLO HUMANO, FUNDAMNETOS EN INFORMATICA, ADMINISTRACION PUBLICA</t>
        </r>
      </text>
    </comment>
    <comment ref="S317" authorId="0" shapeId="0" xr:uid="{7D34A655-9C49-42BB-9246-5D538234707F}">
      <text>
        <r>
          <rPr>
            <b/>
            <sz val="8"/>
            <color indexed="81"/>
            <rFont val="Tahoma"/>
            <family val="2"/>
          </rPr>
          <t>Yamir Adrian Gomez:</t>
        </r>
        <r>
          <rPr>
            <sz val="8"/>
            <color indexed="81"/>
            <rFont val="Tahoma"/>
            <family val="2"/>
          </rPr>
          <t xml:space="preserve">
TECNICO PROFESIONAL EN ADMINISTRACIÒN DE EMPRESAS, TECNICO ELECTRICSTA, BACHILLER ACADEMICO MODULO DE FORMACION FUNDAMENTOS EN INFORMATICA,MODULO DE FORMACION EN ELECTRICIDAD,</t>
        </r>
      </text>
    </comment>
    <comment ref="S318" authorId="0" shapeId="0" xr:uid="{6DB86139-B739-4A6A-9593-1450318AEDA5}">
      <text>
        <r>
          <rPr>
            <b/>
            <sz val="8"/>
            <color indexed="81"/>
            <rFont val="Tahoma"/>
            <family val="2"/>
          </rPr>
          <t>Yamir Adrian Gomez:</t>
        </r>
        <r>
          <rPr>
            <sz val="8"/>
            <color indexed="81"/>
            <rFont val="Tahoma"/>
            <family val="2"/>
          </rPr>
          <t xml:space="preserve">
 TECNICO ELECTRISTA,CURSO INTERMEDIO TRABAJO SEGURO EN ALTURAS, </t>
        </r>
      </text>
    </comment>
    <comment ref="C319" authorId="0" shapeId="0" xr:uid="{3FA3B04A-D6AE-4135-9CCA-7955855D67CE}">
      <text>
        <r>
          <rPr>
            <b/>
            <sz val="9"/>
            <color indexed="81"/>
            <rFont val="Tahoma"/>
            <family val="2"/>
          </rPr>
          <t>Yamir Adrian Gomez:</t>
        </r>
        <r>
          <rPr>
            <sz val="9"/>
            <color indexed="81"/>
            <rFont val="Tahoma"/>
            <family val="2"/>
          </rPr>
          <t xml:space="preserve">
cargo francisco bolaños quiewn renuncio a partir del 01/08/23.</t>
        </r>
      </text>
    </comment>
    <comment ref="S319" authorId="0" shapeId="0" xr:uid="{0B91B7D9-2C3A-4EC2-8724-ACA3970C8EF5}">
      <text>
        <r>
          <rPr>
            <b/>
            <sz val="8"/>
            <color indexed="81"/>
            <rFont val="Tahoma"/>
            <family val="2"/>
          </rPr>
          <t>Yamir Adrian Gomez:</t>
        </r>
        <r>
          <rPr>
            <sz val="8"/>
            <color indexed="81"/>
            <rFont val="Tahoma"/>
            <family val="2"/>
          </rPr>
          <t xml:space="preserve">
TECNICO ELECTRICISTA, BACHILLER A, MECANOGARFO CORRESPONSAL, INSTALACIONES ELCTRICAS RESIDENCIALES, CONOCIMIENTOS BASICOS DE ELCETRICIDAD, INSTALACIONES ELECTRIACS INTERIORES, REPARACION ELECTRODOMESTICOS A RECIDENCIAS, SEMINARIO DE CONTRAOL DE PERDIDAS,</t>
        </r>
      </text>
    </comment>
    <comment ref="C320" authorId="0" shapeId="0" xr:uid="{8D20EDA8-7CBD-4835-BC22-AA9EA2699E99}">
      <text>
        <r>
          <rPr>
            <b/>
            <sz val="9"/>
            <color indexed="81"/>
            <rFont val="Tahoma"/>
            <family val="2"/>
          </rPr>
          <t>Yamir Adrian Gomez:</t>
        </r>
        <r>
          <rPr>
            <sz val="9"/>
            <color indexed="81"/>
            <rFont val="Tahoma"/>
            <family val="2"/>
          </rPr>
          <t xml:space="preserve">
CARGO DE LUNA AMINTA QUIEN RENUNCIO A PARTIR DEL 01/08/26-</t>
        </r>
      </text>
    </comment>
    <comment ref="S320" authorId="0" shapeId="0" xr:uid="{54638BB1-47D4-4C46-A15C-A3A0D61EE3F5}">
      <text>
        <r>
          <rPr>
            <b/>
            <sz val="8"/>
            <color indexed="81"/>
            <rFont val="Tahoma"/>
            <family val="2"/>
          </rPr>
          <t>Yamir Adrian Gomez:</t>
        </r>
        <r>
          <rPr>
            <sz val="8"/>
            <color indexed="81"/>
            <rFont val="Tahoma"/>
            <family val="2"/>
          </rPr>
          <t xml:space="preserve">
BACHILLER ACADEMICOSEMINARIO TALLER SERVICIO Y ATENCION AL CLIENTE, </t>
        </r>
      </text>
    </comment>
    <comment ref="S321" authorId="0" shapeId="0" xr:uid="{57ECE729-152A-4AAF-97A7-CEFEDDF1F98D}">
      <text>
        <r>
          <rPr>
            <b/>
            <sz val="8"/>
            <color indexed="81"/>
            <rFont val="Tahoma"/>
            <family val="2"/>
          </rPr>
          <t>Yamir Adrian Gomez:</t>
        </r>
        <r>
          <rPr>
            <sz val="8"/>
            <color indexed="81"/>
            <rFont val="Tahoma"/>
            <family val="2"/>
          </rPr>
          <t xml:space="preserve">
PROFESIONAL EN ADMINISTRACION PUBLICA,  ACCION DE FORMACION EN INFORMATICA BASICA, CURSO DE CONEXIÓN Y MANTENIMIENTO DE TRANSFORMADORES DE BAJA TENSION, CURSO DE ELCTRICISTA INSTALADOR,  </t>
        </r>
      </text>
    </comment>
    <comment ref="S322" authorId="0" shapeId="0" xr:uid="{5E482BDD-66F5-4BD3-879E-6A4006E493E9}">
      <text>
        <r>
          <rPr>
            <b/>
            <sz val="8"/>
            <color indexed="81"/>
            <rFont val="Tahoma"/>
            <family val="2"/>
          </rPr>
          <t>Yamir Adrian Gomez:</t>
        </r>
        <r>
          <rPr>
            <sz val="8"/>
            <color indexed="81"/>
            <rFont val="Tahoma"/>
            <family val="2"/>
          </rPr>
          <t xml:space="preserve">
ADMINISTRDOR DE EMPRESAS- DIPLOMADO EN ALTA GERENCIA Y SEGURIDAD Y SALUD EN EL TRABAJO</t>
        </r>
      </text>
    </comment>
    <comment ref="D323" authorId="0" shapeId="0" xr:uid="{870B29D5-77C5-4A2B-BB45-D0FABB8AA46A}">
      <text>
        <r>
          <rPr>
            <b/>
            <sz val="9"/>
            <color indexed="81"/>
            <rFont val="Tahoma"/>
            <family val="2"/>
          </rPr>
          <t>Yamir Adrian Gomez:</t>
        </r>
        <r>
          <rPr>
            <sz val="9"/>
            <color indexed="81"/>
            <rFont val="Tahoma"/>
            <family val="2"/>
          </rPr>
          <t xml:space="preserve">
TRASLADO DESDE PASTO DESDE EL 16/04/24.</t>
        </r>
      </text>
    </comment>
    <comment ref="S325" authorId="0" shapeId="0" xr:uid="{B69D477F-CE82-4712-A533-63E3A198942C}">
      <text>
        <r>
          <rPr>
            <b/>
            <sz val="8"/>
            <color indexed="81"/>
            <rFont val="Tahoma"/>
            <family val="2"/>
          </rPr>
          <t>Yamir Adrian Gomez:</t>
        </r>
        <r>
          <rPr>
            <sz val="8"/>
            <color indexed="81"/>
            <rFont val="Tahoma"/>
            <family val="2"/>
          </rPr>
          <t xml:space="preserve">
 SEMINARIO DE DESARROLLO A LA EXCELENCIA, CURSO DE INDUCCION AL PROCESO DE FORMACION, TECNOLOGA EN SISTEMA, BACHILLERACADEMICO, MAESTRA BACHILLER</t>
        </r>
      </text>
    </comment>
    <comment ref="S326" authorId="0" shapeId="0" xr:uid="{D6DCA0C2-1647-4CE9-87E7-6118F59C816B}">
      <text>
        <r>
          <rPr>
            <b/>
            <sz val="8"/>
            <color indexed="81"/>
            <rFont val="Tahoma"/>
            <family val="2"/>
          </rPr>
          <t>Yamir Adrian Gomez:</t>
        </r>
        <r>
          <rPr>
            <sz val="8"/>
            <color indexed="81"/>
            <rFont val="Tahoma"/>
            <family val="2"/>
          </rPr>
          <t xml:space="preserve">
TECNICA  PROFESIONAL EN PROCESOS ADMINISTRATIVS MUNICIAPLES.</t>
        </r>
      </text>
    </comment>
    <comment ref="S327" authorId="0" shapeId="0" xr:uid="{2418883F-87E4-41E0-9B14-7817BD03820A}">
      <text>
        <r>
          <rPr>
            <b/>
            <sz val="8"/>
            <color indexed="81"/>
            <rFont val="Tahoma"/>
            <family val="2"/>
          </rPr>
          <t>Yamir Adrian Gomez:</t>
        </r>
        <r>
          <rPr>
            <sz val="8"/>
            <color indexed="81"/>
            <rFont val="Tahoma"/>
            <family val="2"/>
          </rPr>
          <t xml:space="preserve">
BACHILLER ACADEMICO,ASISTENTE DE ENFERMERIA BASICA, CURSO DE FORMACION SALUD OCUPACIONAL FACTORES DE RIESGY PREVENCION DE ACCIDENTES, CURSO DE FORMACION MANEJO DE HERRAMIENTAS OFMATICAS MICROSOSFT EXCEL,  FUNDAMENTOS PARA LA ADMINISTRACIÓN DE MEDICAMENTOS, CURSO DE FORMACION INFORMATICA  MICROSOSFT WORD Y EXCEL</t>
        </r>
      </text>
    </comment>
    <comment ref="C328" authorId="0" shapeId="0" xr:uid="{6E7299C5-4D14-4A6C-90B6-423898DF6E60}">
      <text>
        <r>
          <rPr>
            <b/>
            <sz val="9"/>
            <color indexed="81"/>
            <rFont val="Tahoma"/>
            <family val="2"/>
          </rPr>
          <t>Yamir Adrian Gomez:</t>
        </r>
        <r>
          <rPr>
            <sz val="9"/>
            <color indexed="81"/>
            <rFont val="Tahoma"/>
            <family val="2"/>
          </rPr>
          <t xml:space="preserve">
CARGO DE SANDRA BAUTISTA</t>
        </r>
      </text>
    </comment>
    <comment ref="S328" authorId="0" shapeId="0" xr:uid="{7510EFCD-7E18-40C0-83F7-00B39FD8B8D3}">
      <text>
        <r>
          <rPr>
            <b/>
            <sz val="8"/>
            <color indexed="81"/>
            <rFont val="Tahoma"/>
            <family val="2"/>
          </rPr>
          <t>Yamir Adrian Gomez:</t>
        </r>
        <r>
          <rPr>
            <sz val="8"/>
            <color indexed="81"/>
            <rFont val="Tahoma"/>
            <family val="2"/>
          </rPr>
          <t xml:space="preserve">
ADMINISTRADORA DE EMPRESAS, BACHILLER ACADEMICO, SEMINARIO TALLER ESTRATEGIAS EMPRESARIALES, COOPERATIVISMO, AUXILIAR Y OPERADOR DE SISTEMA, DIRECCION ESTRATEGICA, INTERMEDIO SEGURO TRABAJO EN ALTURAS</t>
        </r>
      </text>
    </comment>
    <comment ref="D329" authorId="0" shapeId="0" xr:uid="{D0C94433-D418-439D-9839-CA12091085FB}">
      <text>
        <r>
          <rPr>
            <b/>
            <sz val="9"/>
            <color indexed="81"/>
            <rFont val="Tahoma"/>
            <family val="2"/>
          </rPr>
          <t>Yamir Adrian Gomez:</t>
        </r>
        <r>
          <rPr>
            <sz val="9"/>
            <color indexed="81"/>
            <rFont val="Tahoma"/>
            <family val="2"/>
          </rPr>
          <t xml:space="preserve">
cambio de pasto a ipiales con mismo cargo</t>
        </r>
      </text>
    </comment>
    <comment ref="S329" authorId="0" shapeId="0" xr:uid="{5019F2A5-DC2D-4B2D-B365-AB7C3013C608}">
      <text>
        <r>
          <rPr>
            <b/>
            <sz val="9"/>
            <color indexed="81"/>
            <rFont val="Tahoma"/>
            <family val="2"/>
          </rPr>
          <t>Yamir Adrian GomezAdministgradora negocios internacionales</t>
        </r>
      </text>
    </comment>
    <comment ref="S330" authorId="0" shapeId="0" xr:uid="{9E6AB5A8-F3EF-4502-A9C9-B5A35B8C3D5F}">
      <text>
        <r>
          <rPr>
            <b/>
            <sz val="8"/>
            <color indexed="81"/>
            <rFont val="Tahoma"/>
            <family val="2"/>
          </rPr>
          <t>Yamir Adrian Gomez:</t>
        </r>
        <r>
          <rPr>
            <sz val="8"/>
            <color indexed="81"/>
            <rFont val="Tahoma"/>
            <family val="2"/>
          </rPr>
          <t xml:space="preserve">
BACHILLER, AUXILIAR EN SISTEMAS, TECNICO ELECTRICISTA</t>
        </r>
      </text>
    </comment>
    <comment ref="S331" authorId="0" shapeId="0" xr:uid="{6F831FB8-EE25-4CCC-BDAE-029D1C3B4108}">
      <text>
        <r>
          <rPr>
            <b/>
            <sz val="8"/>
            <color indexed="81"/>
            <rFont val="Tahoma"/>
            <family val="2"/>
          </rPr>
          <t>Yamir Adrian Gomez:</t>
        </r>
        <r>
          <rPr>
            <sz val="8"/>
            <color indexed="81"/>
            <rFont val="Tahoma"/>
            <family val="2"/>
          </rPr>
          <t xml:space="preserve">
TECNICO ELECTRISTA, BACHILLER SALUD Y NUTRICIÒN, ENFERMERIA BASICA, CURSO DE FORMACION INTERMEDIO TRABAJO SEGURO EN ALTURAS, </t>
        </r>
      </text>
    </comment>
    <comment ref="S332" authorId="0" shapeId="0" xr:uid="{F4D6E9D0-1978-4CF1-A13B-1108765FB75D}">
      <text>
        <r>
          <rPr>
            <b/>
            <sz val="8"/>
            <color indexed="81"/>
            <rFont val="Tahoma"/>
            <family val="2"/>
          </rPr>
          <t>Yamir Adrian Gomez:</t>
        </r>
        <r>
          <rPr>
            <sz val="8"/>
            <color indexed="81"/>
            <rFont val="Tahoma"/>
            <family val="2"/>
          </rPr>
          <t xml:space="preserve">
TECNICO ELECTRICSTA, BACHILLER ACADEMICO</t>
        </r>
      </text>
    </comment>
    <comment ref="C333" authorId="0" shapeId="0" xr:uid="{97DC4A6E-39CA-4501-8B6B-DAACB28A7AAF}">
      <text>
        <r>
          <rPr>
            <b/>
            <sz val="9"/>
            <color indexed="81"/>
            <rFont val="Tahoma"/>
            <family val="2"/>
          </rPr>
          <t>Yamir Adrian Gomez:</t>
        </r>
        <r>
          <rPr>
            <sz val="9"/>
            <color indexed="81"/>
            <rFont val="Tahoma"/>
            <family val="2"/>
          </rPr>
          <t xml:space="preserve">
CARGO DE GERMAN HUERTAS QUIEN RENUNCIO A PARTIR DEL 01/08/26</t>
        </r>
      </text>
    </comment>
    <comment ref="S333" authorId="0" shapeId="0" xr:uid="{8B07CF4F-5B5F-4658-92F0-51A69FE91E00}">
      <text>
        <r>
          <rPr>
            <b/>
            <sz val="8"/>
            <color indexed="81"/>
            <rFont val="Tahoma"/>
            <family val="2"/>
          </rPr>
          <t>Yamir Adrian Gomez:</t>
        </r>
        <r>
          <rPr>
            <sz val="8"/>
            <color indexed="81"/>
            <rFont val="Tahoma"/>
            <family val="2"/>
          </rPr>
          <t xml:space="preserve">
TECNICO ELECTRISTA,BACHILLER ACADEMICOMODULO DE FORMACION ELECTRICISTA INSTALACIONES Y MANTENIMIENTO, CURSO INTERMEDIO TRABAJO SEGURO EN ALTURAS  Y AVANZADO EN ALTURAS</t>
        </r>
      </text>
    </comment>
    <comment ref="S334" authorId="0" shapeId="0" xr:uid="{CE96FF26-DED9-4225-95D6-B32B31A90907}">
      <text>
        <r>
          <rPr>
            <b/>
            <sz val="8"/>
            <color indexed="81"/>
            <rFont val="Tahoma"/>
            <family val="2"/>
          </rPr>
          <t>Yamir Adrian Gomez:</t>
        </r>
        <r>
          <rPr>
            <sz val="8"/>
            <color indexed="81"/>
            <rFont val="Tahoma"/>
            <family val="2"/>
          </rPr>
          <t xml:space="preserve">
TECNICO ELECTRICISTA, BACHILLER AGRICOLA, CURSOS DE FORMACION EN: RIESGO DE TRABAJO EN ALTURAS, INSTALACIONES ELCTRICAS RESIDENCIALES, PUESTAS A TIERRA RETIE, ELECTRICIDAD BASICA, DISEÑO E INTERPRETACION DE PALNOS</t>
        </r>
      </text>
    </comment>
    <comment ref="S335" authorId="0" shapeId="0" xr:uid="{54B75C22-5F16-4F3D-B932-976DB660A187}">
      <text>
        <r>
          <rPr>
            <b/>
            <sz val="8"/>
            <color indexed="81"/>
            <rFont val="Tahoma"/>
            <family val="2"/>
          </rPr>
          <t>Yamir Adrian Gomez:</t>
        </r>
        <r>
          <rPr>
            <sz val="8"/>
            <color indexed="81"/>
            <rFont val="Tahoma"/>
            <family val="2"/>
          </rPr>
          <t xml:space="preserve">
TECNICO ELECTRISTA, BACHILLER ACADEMICO, CURSO INTERMEDIO TRABAJO SEGURO EN ALTURAS,  </t>
        </r>
      </text>
    </comment>
    <comment ref="S336" authorId="0" shapeId="0" xr:uid="{4A6D42F8-8AF4-4892-8915-4009676F0649}">
      <text>
        <r>
          <rPr>
            <b/>
            <sz val="8"/>
            <color indexed="81"/>
            <rFont val="Tahoma"/>
            <family val="2"/>
          </rPr>
          <t>Yamir Adrian Gomez:</t>
        </r>
        <r>
          <rPr>
            <sz val="8"/>
            <color indexed="81"/>
            <rFont val="Tahoma"/>
            <family val="2"/>
          </rPr>
          <t xml:space="preserve">
TECNICO ELECTRICISTA, TECNICO EN CONSTRUCCION Y MONTAJE DE LINEAS ELECTRICAS, TECNICO EN SISTEMAS, CURSO EN CIRCUITOS, CURSO DE COMPETENCIA LABORAL EN LA NORMA, RIESGO DE TRABAJO EN ALTURAS</t>
        </r>
      </text>
    </comment>
    <comment ref="S337" authorId="0" shapeId="0" xr:uid="{D45F0507-4CC4-4EC6-8322-52F8CEF5E243}">
      <text>
        <r>
          <rPr>
            <b/>
            <sz val="8"/>
            <color indexed="81"/>
            <rFont val="Tahoma"/>
            <family val="2"/>
          </rPr>
          <t>Yamir Adrian Gomez:</t>
        </r>
        <r>
          <rPr>
            <sz val="8"/>
            <color indexed="81"/>
            <rFont val="Tahoma"/>
            <family val="2"/>
          </rPr>
          <t xml:space="preserve">
TECNICO ELECTRICISTA T6 - TECNICO LABORAL POR COMPETENCIAS EN ELECTRICIDAD Y ELECTRONICA</t>
        </r>
      </text>
    </comment>
    <comment ref="S338" authorId="0" shapeId="0" xr:uid="{87179F0D-4D45-48EC-88CD-3649FA561AEE}">
      <text>
        <r>
          <rPr>
            <b/>
            <sz val="8"/>
            <color indexed="81"/>
            <rFont val="Tahoma"/>
            <family val="2"/>
          </rPr>
          <t>Yamir Adrian Gomez:</t>
        </r>
        <r>
          <rPr>
            <sz val="8"/>
            <color indexed="81"/>
            <rFont val="Tahoma"/>
            <family val="2"/>
          </rPr>
          <t xml:space="preserve">
TECNICO ELECISTA,BACHILLER ACADEMICOINTERMEDIO SEGURO TRABAJO EN ALTURAS, CURSO DE ACTUALIZACION NORMA TECNIC NTC, URSO INTERMEDIO TRABAJO SEGURO EN ALTURAS- AVANZADO EN ALTURAS</t>
        </r>
      </text>
    </comment>
    <comment ref="S339" authorId="0" shapeId="0" xr:uid="{538F107A-080E-4FB4-AB73-8040589F6D5B}">
      <text>
        <r>
          <rPr>
            <b/>
            <sz val="8"/>
            <color indexed="81"/>
            <rFont val="Tahoma"/>
            <family val="2"/>
          </rPr>
          <t>Yamir Adrian Gomez:</t>
        </r>
        <r>
          <rPr>
            <sz val="8"/>
            <color indexed="81"/>
            <rFont val="Tahoma"/>
            <family val="2"/>
          </rPr>
          <t xml:space="preserve">
TECNICO ELECTRICISTA, BACHILLER ACADEMICO FORMACION EN ELECTRICISTA INSTALADOR, CURSO DE INTRODUCCION A LA VIGILANCIA Y SEGURIDAD PRIVADA, INTERMEDIO SEGURO TRABAJO EN ALTURAS</t>
        </r>
      </text>
    </comment>
    <comment ref="S340" authorId="0" shapeId="0" xr:uid="{A8A51517-B854-4E2F-9F94-AB3EB100D530}">
      <text>
        <r>
          <rPr>
            <b/>
            <sz val="8"/>
            <color indexed="81"/>
            <rFont val="Tahoma"/>
            <family val="2"/>
          </rPr>
          <t>Yamir Adrian Gomez:</t>
        </r>
        <r>
          <rPr>
            <sz val="8"/>
            <color indexed="81"/>
            <rFont val="Tahoma"/>
            <family val="2"/>
          </rPr>
          <t xml:space="preserve">
TECNICO ELECTRISTA, CURSO INTERMEDIO SEGURO TRABAJO EN ALTURAS, BACHILLER ACADEMICO Y AVANZADO EN ALTURAS</t>
        </r>
      </text>
    </comment>
    <comment ref="S341" authorId="0" shapeId="0" xr:uid="{5E8BDF94-A648-435A-9B81-509C305D45C8}">
      <text>
        <r>
          <rPr>
            <b/>
            <sz val="8"/>
            <color indexed="81"/>
            <rFont val="Tahoma"/>
            <family val="2"/>
          </rPr>
          <t>Yamir Adrian Gomez:</t>
        </r>
        <r>
          <rPr>
            <sz val="8"/>
            <color indexed="81"/>
            <rFont val="Tahoma"/>
            <family val="2"/>
          </rPr>
          <t xml:space="preserve">
TECNICO ELECTRICISTA, BACHILLER ACADEMICO, TALLER ECONOMIA SOLIDARIA, CURSO EXPERTO EN INFORMATICA COMERCIAL, CURSO DE OPERASDOR DE SISTEMAS, </t>
        </r>
      </text>
    </comment>
    <comment ref="S342" authorId="0" shapeId="0" xr:uid="{53691F7C-0CCA-4CB4-AE47-1E1CC4A7DF0F}">
      <text>
        <r>
          <rPr>
            <b/>
            <sz val="8"/>
            <color indexed="81"/>
            <rFont val="Tahoma"/>
            <family val="2"/>
          </rPr>
          <t>Yamir Adrian Gomez:</t>
        </r>
        <r>
          <rPr>
            <sz val="8"/>
            <color indexed="81"/>
            <rFont val="Tahoma"/>
            <family val="2"/>
          </rPr>
          <t xml:space="preserve">
TECNICO ELECTRICISTA, TECNICO PROFESIONAL EN MANTENIMIENTO ELECTRONICO,  BACHILLERACADEMICO, SEMINARIO DEL REGLAMENTO TECNICO DE INASTALACIONES ELECTRICAS Y NORMAS JURIDICAS, CURSO DE REPARACION SISTEMAS ELECTRICOS AUTOMOTRIZ, BASICO DE  ESCOLTAS DE MERCANCIAS,  INTERMEDIO SEGURO TRABAJO EN ALTURAS Y AVANZADO EN ALTURAS </t>
        </r>
      </text>
    </comment>
    <comment ref="S343" authorId="0" shapeId="0" xr:uid="{0D9C9340-5812-4422-8C57-B2BDF37F70BA}">
      <text>
        <r>
          <rPr>
            <b/>
            <sz val="8"/>
            <color indexed="81"/>
            <rFont val="Tahoma"/>
            <family val="2"/>
          </rPr>
          <t>Yamir Adrian Gomez:</t>
        </r>
        <r>
          <rPr>
            <sz val="8"/>
            <color indexed="81"/>
            <rFont val="Tahoma"/>
            <family val="2"/>
          </rPr>
          <t xml:space="preserve">
TECNICO ELECTRICISTA,BACHILLER ACADEMICO, VII SEMESTRES DE ECONOMIA, NTERMEDIO SEGURO TRABAJO EN ALTURAS, CURSO DE ELCTRICIDAD BASICA, </t>
        </r>
      </text>
    </comment>
    <comment ref="S344" authorId="0" shapeId="0" xr:uid="{1844FE79-B34E-449D-9BF6-C796229C6AA1}">
      <text>
        <r>
          <rPr>
            <b/>
            <sz val="8"/>
            <color indexed="81"/>
            <rFont val="Tahoma"/>
            <family val="2"/>
          </rPr>
          <t>Yamir Adrian Gomez:</t>
        </r>
        <r>
          <rPr>
            <sz val="8"/>
            <color indexed="81"/>
            <rFont val="Tahoma"/>
            <family val="2"/>
          </rPr>
          <t xml:space="preserve">
TECNICO ELECTRISTA, BACHILLERACADEMICO,  CURSO  DE FORMACION EN PRACTICA EN SISTEMAS, CURSO DE ELECTRICIDAD ESPECIAL-URSO INTERMEDIO TRABAJO SEGURO EN ALTURAS- AVANZADO EN ALTURAS</t>
        </r>
      </text>
    </comment>
    <comment ref="S345" authorId="0" shapeId="0" xr:uid="{E5D5C7F9-E808-4A90-9D29-7A08F1B76ADA}">
      <text>
        <r>
          <rPr>
            <b/>
            <sz val="8"/>
            <color indexed="81"/>
            <rFont val="Tahoma"/>
            <family val="2"/>
          </rPr>
          <t>Yamir Adrian Gomez:</t>
        </r>
        <r>
          <rPr>
            <sz val="8"/>
            <color indexed="81"/>
            <rFont val="Tahoma"/>
            <family val="2"/>
          </rPr>
          <t xml:space="preserve">
TECNICO ELECTRICISTA, SEMINARIO DE REGLAMENTO TECNICO DE INSTALACIONES ELECTRICOS Y NORMAS JURIDICAS,INTERMEDIO SEGURO TRABAJO EN ALTURAS Y AVANZADO EN ALTURAS</t>
        </r>
      </text>
    </comment>
    <comment ref="S347" authorId="0" shapeId="0" xr:uid="{46AB4AA6-EE44-4B80-9DC9-51D4E82BD35A}">
      <text>
        <r>
          <rPr>
            <b/>
            <sz val="8"/>
            <color indexed="81"/>
            <rFont val="Tahoma"/>
            <family val="2"/>
          </rPr>
          <t>Yamir Adrian Gomez:</t>
        </r>
        <r>
          <rPr>
            <sz val="8"/>
            <color indexed="81"/>
            <rFont val="Tahoma"/>
            <family val="2"/>
          </rPr>
          <t xml:space="preserve">
TECNICO ELECTRICISTA</t>
        </r>
      </text>
    </comment>
    <comment ref="S349" authorId="0" shapeId="0" xr:uid="{46235BD3-6AE8-4CE9-9927-E48A3B8FCE84}">
      <text>
        <r>
          <rPr>
            <b/>
            <sz val="8"/>
            <color indexed="81"/>
            <rFont val="Tahoma"/>
            <family val="2"/>
          </rPr>
          <t>Yamir Adrian Gomez:</t>
        </r>
        <r>
          <rPr>
            <sz val="8"/>
            <color indexed="81"/>
            <rFont val="Tahoma"/>
            <family val="2"/>
          </rPr>
          <t xml:space="preserve">
TECNICO ELECTRICISTA, CURSO INTERMEDIO TRABAJO SEGURO EN ALTURAS, MODULO DE FORMACION EN MANTENIMIENTO DE TRANSFORMADORES-URSO INTERMEDIO TRABAJO SEGURO EN ALTURAS- AVANZADO EN ALTURAS</t>
        </r>
      </text>
    </comment>
    <comment ref="S350" authorId="0" shapeId="0" xr:uid="{4A48A427-EF2E-4979-8525-934F8410DE56}">
      <text>
        <r>
          <rPr>
            <b/>
            <sz val="8"/>
            <color indexed="81"/>
            <rFont val="Tahoma"/>
            <family val="2"/>
          </rPr>
          <t>Yamir Adrian Gomez:</t>
        </r>
        <r>
          <rPr>
            <sz val="8"/>
            <color indexed="81"/>
            <rFont val="Tahoma"/>
            <family val="2"/>
          </rPr>
          <t xml:space="preserve">
TECNICO ELECTRICISTA, URSO INTERMEDIO TRABAJO SEGURO EN ALTURAS, SEMINARIO INSTALACIONES INTERNAS DOMICILIARIAS CON ENFASIS EN RETIE, TALLER GESTION DEL RIESGO, SEMINARIO DE NIVELACION DISEÑO CONSTRUCCION Y MEDICIONES DE PUESTA A TIERRA, CAPACITACION TEORICO PRECTICO EN SEGURIDAD INDUSTRIAL Y SALUD OCUPACIONAL, SEMINARIO DE REGLAMENTO TECNICO DE INSTALCIONES ELECTRICAS Y NORMAS JURIDICAS, CURSO DE PRIMEROS AUXILIOS, DISEÑO DEL PROGRAMADE SALUD OCUPACIONAL, MOD DE FORMACION DE ELECTRICISTA, ACCION DE FORMACION ALUMBRADO PUBLICO, MODIULO DE FORMACION EN MATO DE TRANSFORMADORES, MOD DE FORMACION ELECTRICISTA INSTALCIONES Y MANTENIMIENTO, URSO INTERMEDIO TRABAJO SEGURO EN ALTURAS- AVANZADO EN ALTURAS</t>
        </r>
      </text>
    </comment>
    <comment ref="S351" authorId="0" shapeId="0" xr:uid="{0A5657CE-34B6-4AAA-8433-7230F0CDBF17}">
      <text>
        <r>
          <rPr>
            <b/>
            <sz val="8"/>
            <color indexed="81"/>
            <rFont val="Tahoma"/>
            <family val="2"/>
          </rPr>
          <t>Yamir Adrian Gomez:</t>
        </r>
        <r>
          <rPr>
            <sz val="8"/>
            <color indexed="81"/>
            <rFont val="Tahoma"/>
            <family val="2"/>
          </rPr>
          <t xml:space="preserve">
ACCION DE FORMACION OFIMATICA,  AUXILIAR EN SISTEMAS, TECNICO EN ANALISIS Y PROGRAMACION DE SISTEMAS, BACHILLER ACADEMICO, </t>
        </r>
      </text>
    </comment>
    <comment ref="S352" authorId="0" shapeId="0" xr:uid="{ED36DD12-5107-4B74-BCDC-72B32B36E8F8}">
      <text>
        <r>
          <rPr>
            <b/>
            <sz val="8"/>
            <color indexed="81"/>
            <rFont val="Tahoma"/>
            <family val="2"/>
          </rPr>
          <t>Yamir Adrian Gomez:</t>
        </r>
        <r>
          <rPr>
            <sz val="8"/>
            <color indexed="81"/>
            <rFont val="Tahoma"/>
            <family val="2"/>
          </rPr>
          <t xml:space="preserve">
TECNICO ELECTRICISTA</t>
        </r>
      </text>
    </comment>
    <comment ref="S353" authorId="0" shapeId="0" xr:uid="{A30E1807-80EB-4EF5-BDB1-0EDBBAAF1874}">
      <text>
        <r>
          <rPr>
            <b/>
            <sz val="8"/>
            <color indexed="81"/>
            <rFont val="Tahoma"/>
            <family val="2"/>
          </rPr>
          <t>Yamir Adrian Gomez:</t>
        </r>
        <r>
          <rPr>
            <sz val="8"/>
            <color indexed="81"/>
            <rFont val="Tahoma"/>
            <family val="2"/>
          </rPr>
          <t xml:space="preserve">
TECNICO ELECTRISTA, CURSO TECNICO LABORAL EN MATO Y ENSAMBLE DE COMPUTADORES, MODULO DE FORMACION EN ELECTRICIDAD E INSTACIONES ELECTRICAS, SEMINARIO DE REGLAMENTO TECNICO DE INSTALACIONES ELECTRICOS Y NORMAS JURIDICAS, ACTULIZACION DE SITEMA PUESTA A TIERRA, AUXILIAR EN SEREATRIADO COMERCIAL, BACHILLER ACADEMICO, INTERMEDIO SEGURO TRABAJO EN ALTURAS</t>
        </r>
      </text>
    </comment>
    <comment ref="S354" authorId="0" shapeId="0" xr:uid="{61201417-47EE-4A06-AE2D-6617E50B19DA}">
      <text>
        <r>
          <rPr>
            <b/>
            <sz val="8"/>
            <color indexed="81"/>
            <rFont val="Tahoma"/>
            <family val="2"/>
          </rPr>
          <t>Yamir Adrian Gomez:</t>
        </r>
        <r>
          <rPr>
            <sz val="8"/>
            <color indexed="81"/>
            <rFont val="Tahoma"/>
            <family val="2"/>
          </rPr>
          <t xml:space="preserve">
TECNICO ELECTRICISTA, TECNICO PROFESIONAL EN ELECTRICIDAD INDUSTRIAL ,INTERMEDIO SEGURO TRABAJO EN ALTURAS</t>
        </r>
      </text>
    </comment>
    <comment ref="C356" authorId="0" shapeId="0" xr:uid="{F1CABE9A-4D02-4E41-B05D-8D3BEB72850A}">
      <text>
        <r>
          <rPr>
            <b/>
            <sz val="9"/>
            <color indexed="81"/>
            <rFont val="Tahoma"/>
            <family val="2"/>
          </rPr>
          <t>Yamir Adrian Gomez:</t>
        </r>
        <r>
          <rPr>
            <sz val="9"/>
            <color indexed="81"/>
            <rFont val="Tahoma"/>
            <family val="2"/>
          </rPr>
          <t xml:space="preserve">
ESTE CARGO ERA DE EDILMA MONTENEGRO QUIEN ESTUVIO HASTA EL 31/12/23.elcargo de operario de jonatan lo tiene ANGI BURBAN de pasto</t>
        </r>
      </text>
    </comment>
    <comment ref="C357" authorId="0" shapeId="0" xr:uid="{29828735-AC57-4E98-B8E2-1503B2E86002}">
      <text>
        <r>
          <rPr>
            <b/>
            <sz val="9"/>
            <color indexed="81"/>
            <rFont val="Tahoma"/>
            <family val="2"/>
          </rPr>
          <t>Yamir Adrian Gomez:</t>
        </r>
        <r>
          <rPr>
            <sz val="9"/>
            <color indexed="81"/>
            <rFont val="Tahoma"/>
            <family val="2"/>
          </rPr>
          <t xml:space="preserve">
Paso a indefinido a partir de sep/2025</t>
        </r>
      </text>
    </comment>
    <comment ref="S357" authorId="0" shapeId="0" xr:uid="{B3F0D1E3-2DD1-4BD6-902E-6F6DD9C04654}">
      <text>
        <r>
          <rPr>
            <b/>
            <sz val="8"/>
            <color indexed="81"/>
            <rFont val="Tahoma"/>
            <family val="2"/>
          </rPr>
          <t>Yamir Adrian Gomez:</t>
        </r>
        <r>
          <rPr>
            <sz val="8"/>
            <color indexed="81"/>
            <rFont val="Tahoma"/>
            <family val="2"/>
          </rPr>
          <t xml:space="preserve">
TECNICO ELECTRISTA,CUARTO DE  BACHILLER, CURSO  ELECTRICISTA INSTALDOR, CONEXIÓN DE TRANSFORMADORES DE BAJA POTENCIA, CURSO INTERMEDIO TRABAJO SEGURO EN ALTURAS- AVANZADO EN ALTURAS</t>
        </r>
      </text>
    </comment>
    <comment ref="C358" authorId="0" shapeId="0" xr:uid="{24CC7519-454F-478D-B644-F39723069890}">
      <text>
        <r>
          <rPr>
            <b/>
            <sz val="9"/>
            <color indexed="81"/>
            <rFont val="Tahoma"/>
            <family val="2"/>
          </rPr>
          <t>Yamir Adrian Gomez:</t>
        </r>
        <r>
          <rPr>
            <sz val="9"/>
            <color indexed="81"/>
            <rFont val="Tahoma"/>
            <family val="2"/>
          </rPr>
          <t xml:space="preserve">
cargo de alexis villota qioen paaso a aux I a partrid el 02/08/23.</t>
        </r>
      </text>
    </comment>
    <comment ref="S358" authorId="0" shapeId="0" xr:uid="{CF1FD31C-838D-4AD3-A663-935983615FD4}">
      <text>
        <r>
          <rPr>
            <b/>
            <sz val="8"/>
            <color indexed="81"/>
            <rFont val="Tahoma"/>
            <family val="2"/>
          </rPr>
          <t>Yamir Adrian Gomez:</t>
        </r>
        <r>
          <rPr>
            <sz val="8"/>
            <color indexed="81"/>
            <rFont val="Tahoma"/>
            <family val="2"/>
          </rPr>
          <t xml:space="preserve">
INGENIERO DE SISTEMAS, SEMINARIO INSTALACIONES INTERNA DOMICILIARIAS CON ENFASIS EN RETIE, CURSO DE SISTEMA PUESTA A TIERRA, CURSO DE PROGRAMAS DE INFORMACION ESTADISTICA, DOCENTE TUTOR DE LA UNIV SAN MARTIN</t>
        </r>
      </text>
    </comment>
    <comment ref="S359" authorId="0" shapeId="0" xr:uid="{6B286586-42CA-41D4-9062-8E8ABDCF6413}">
      <text>
        <r>
          <rPr>
            <b/>
            <sz val="8"/>
            <color indexed="81"/>
            <rFont val="Tahoma"/>
            <family val="2"/>
          </rPr>
          <t>Yamir Adrian Gomez:</t>
        </r>
        <r>
          <rPr>
            <sz val="8"/>
            <color indexed="81"/>
            <rFont val="Tahoma"/>
            <family val="2"/>
          </rPr>
          <t xml:space="preserve">
TECNICO LABORAL EN SECRETARIADO EJECUTIVO SISTEMATIZADO, TECNICO ELECTRICISTA, CURSO DE PRIMEROS AUXILIOS, OPERACIÒN DE SUBESTACIONES ELECTRICAS DE MEDIA Y ALTA TENSIÒN, INFORMATICA BASICA, AUXILIAR EN SISTEMAS, SEMINARIO DE OPERCAIÒN DE SUBESTCAIONES, SEMINARIO TALLER NORMAS ICONTEC PARA LA ELABORACION DE TRABAJOS ESCRITOS, CREDITO ACADEMICO DEL SISTEMA DE PUESTA A TIERRA,</t>
        </r>
      </text>
    </comment>
    <comment ref="S360" authorId="0" shapeId="0" xr:uid="{2B508BFD-206E-432E-802A-CF780B0E5F0A}">
      <text>
        <r>
          <rPr>
            <b/>
            <sz val="8"/>
            <color indexed="81"/>
            <rFont val="Tahoma"/>
            <family val="2"/>
          </rPr>
          <t>Yamir Adrian Gomez:</t>
        </r>
        <r>
          <rPr>
            <sz val="8"/>
            <color indexed="81"/>
            <rFont val="Tahoma"/>
            <family val="2"/>
          </rPr>
          <t xml:space="preserve">
BACHILLER ACADEMICO-ELECTRICIDAD BASICA- CURSOS DE CORTA DURACION SENA -TECNICO ELECTRICISTA, TECNOLOGO EN ELECTROMECANICA- INGENIERO ELECTROMECANICO-</t>
        </r>
      </text>
    </comment>
    <comment ref="S361" authorId="0" shapeId="0" xr:uid="{FFFD038E-1408-4C66-853E-CAB7DC9D4F09}">
      <text>
        <r>
          <rPr>
            <b/>
            <sz val="8"/>
            <color indexed="81"/>
            <rFont val="Tahoma"/>
            <family val="2"/>
          </rPr>
          <t>Yamir Adrian Gomez:</t>
        </r>
        <r>
          <rPr>
            <sz val="8"/>
            <color indexed="81"/>
            <rFont val="Tahoma"/>
            <family val="2"/>
          </rPr>
          <t xml:space="preserve">
TECNICO ELECTRISTA, BACHILLER ACADEMICOCURSO COMO BRINDAR UN SERVICIO EXCEPCIONAL AL CLIENTE, OPERACIÓN Y MANTENIMIENTO DE SUBESTACIONES DE DISTRIBUCIÒN, REGLAMENTO TECNICO DE  INSATLACIONES ELECTRICAS Y NORMAS JURIDICAS, OPERACIÓN  DE SUBESTACIONES, SEMINARIO DASARROLLO HACIA LA EXCELENCIA, CURDSO DE SISTEMAS, </t>
        </r>
      </text>
    </comment>
    <comment ref="S362" authorId="0" shapeId="0" xr:uid="{837DFC3D-C37E-4240-BC3D-2291DBFC2E0E}">
      <text>
        <r>
          <rPr>
            <b/>
            <sz val="8"/>
            <color indexed="81"/>
            <rFont val="Tahoma"/>
            <family val="2"/>
          </rPr>
          <t>Yamir Adrian Gomez:</t>
        </r>
        <r>
          <rPr>
            <sz val="8"/>
            <color indexed="81"/>
            <rFont val="Tahoma"/>
            <family val="2"/>
          </rPr>
          <t xml:space="preserve">
TECNICO ELECTRISTA, BACHILLER INDUSTRIAL MODALIDAD ELECTRICIDAD, SEMINARIO DE REGLAMENTO TECNICO DE INSTALACIONES ELECTRICAS Y NORMAS JURIDICAS, MODULO DE LINEAS DE MEDIA Y BAJA TENSION BAJO NORMA RETIE.</t>
        </r>
      </text>
    </comment>
    <comment ref="S363" authorId="0" shapeId="0" xr:uid="{D3B5FA7C-DCEA-4D68-BC05-3E817D00E154}">
      <text>
        <r>
          <rPr>
            <b/>
            <sz val="8"/>
            <color indexed="81"/>
            <rFont val="Tahoma"/>
            <family val="2"/>
          </rPr>
          <t>Yamir Adrian Gomez:</t>
        </r>
        <r>
          <rPr>
            <sz val="8"/>
            <color indexed="81"/>
            <rFont val="Tahoma"/>
            <family val="2"/>
          </rPr>
          <t xml:space="preserve">
TECNICO ELECTRICISTA, MODULO DE FORMACION EN MANTENIMIENTO DE TRANSFORMADORES-INTERMEDIO Y AVANZADO EN ALTURAS</t>
        </r>
      </text>
    </comment>
    <comment ref="C364" authorId="0" shapeId="0" xr:uid="{A7BA947A-3CC8-4459-93BD-F42B10171339}">
      <text>
        <r>
          <rPr>
            <b/>
            <sz val="9"/>
            <color indexed="81"/>
            <rFont val="Tahoma"/>
            <family val="2"/>
          </rPr>
          <t>Yamir Adrian Gomez:</t>
        </r>
        <r>
          <rPr>
            <sz val="9"/>
            <color indexed="81"/>
            <rFont val="Tahoma"/>
            <family val="2"/>
          </rPr>
          <t xml:space="preserve">
ENC DESDE 03/08/26.CARGO DE PEDRO RAMIREZ QUIEN RENUNCIO A PARTIR DEL 01/08/26</t>
        </r>
      </text>
    </comment>
    <comment ref="S364" authorId="0" shapeId="0" xr:uid="{C416C667-85D6-435C-8CC3-D86B504B7398}">
      <text>
        <r>
          <rPr>
            <b/>
            <sz val="8"/>
            <color indexed="81"/>
            <rFont val="Tahoma"/>
            <family val="2"/>
          </rPr>
          <t>Yamir Adrian Gomez:</t>
        </r>
        <r>
          <rPr>
            <sz val="8"/>
            <color indexed="81"/>
            <rFont val="Tahoma"/>
            <family val="2"/>
          </rPr>
          <t xml:space="preserve">
BACHILLER ACADEMICO, INTERMEDIO TRABAJO SEGURO  EN ALTURAS, INDUCCION AL PROCESO DE FORMACION, FORMACION BASICA EN SISTEMAS, FORMACION ESPECIFICA PROMOTOR DE SERVICIOS TURISTICOS NACIONALES. FORMACION EN MONTAJE Y REDES DE DISTRIBUCIÒN, MANTENIMIENTO REDES DISTRIBUCION. ELECTRICIDAD BASICA</t>
        </r>
      </text>
    </comment>
    <comment ref="S365" authorId="0" shapeId="0" xr:uid="{A7F808D3-6A4D-4EB5-9FC6-A3E2430163E6}">
      <text>
        <r>
          <rPr>
            <b/>
            <sz val="8"/>
            <color indexed="81"/>
            <rFont val="Tahoma"/>
            <family val="2"/>
          </rPr>
          <t>Yamir Adrian Gomez:</t>
        </r>
        <r>
          <rPr>
            <sz val="8"/>
            <color indexed="81"/>
            <rFont val="Tahoma"/>
            <family val="2"/>
          </rPr>
          <t xml:space="preserve">
TECNICO ELECTRICISTA, BACHILLER ACADEMICO, CURSO DE OPERARIO ELECTRICISTA INSTALADOR DE REDES INTERNAS, CURSO DE INATALCIONES ELECTRICAS RESIDENCIALES, SEMINARIO DE REGLAMENTO TECNICO DE INSTALACIONES ELECTRICAS Y NORMAS JURIDICAS. INTERMEDIO SEGURO TRABAJO EN ALTURAS Y AVANZADO EN ALTURAS</t>
        </r>
      </text>
    </comment>
    <comment ref="S366" authorId="0" shapeId="0" xr:uid="{6EC29060-4723-477F-AF61-F4ACAC1D5ACB}">
      <text>
        <r>
          <rPr>
            <b/>
            <sz val="8"/>
            <color indexed="81"/>
            <rFont val="Tahoma"/>
            <family val="2"/>
          </rPr>
          <t>Yamir Adrian Gomez:</t>
        </r>
        <r>
          <rPr>
            <sz val="8"/>
            <color indexed="81"/>
            <rFont val="Tahoma"/>
            <family val="2"/>
          </rPr>
          <t xml:space="preserve">
TECNICO ELECTRICISTA, CURSO DE ELECTRICTSA INSTALADOR, CAPACITACION TEORICO PRACTICA EN SEGURIDAD INDUSTRIAL Y SALUD OCUPACIONAL, SEMINARIO DE INSTALACIONES INTERNAS DOMICILIARIAS CON ENFASIS EN RETIE, MODULO DE FORMACION ELECTRCITA Y MANTENIMIENTO, INTERMEDIO SEGURO TRABAJO EN ALTURAS Y AVANZADO EN ALTURAS</t>
        </r>
      </text>
    </comment>
    <comment ref="S367" authorId="0" shapeId="0" xr:uid="{B65F6361-466E-402F-A306-E0E121F7A9B5}">
      <text>
        <r>
          <rPr>
            <b/>
            <sz val="8"/>
            <color indexed="81"/>
            <rFont val="Tahoma"/>
            <family val="2"/>
          </rPr>
          <t>Yamir Adrian Gomez:</t>
        </r>
        <r>
          <rPr>
            <sz val="8"/>
            <color indexed="81"/>
            <rFont val="Tahoma"/>
            <family val="2"/>
          </rPr>
          <t xml:space="preserve">
TECNICO ELECTRICISTA, CURSO BASICO DE ELECTRCIDAD, SEMINARIO INSTALACIONES INTERNAS CON ENFASIS EN RETIE, CURSO INTERMEDIO SEGURO TRABAJO EN ALTURAS</t>
        </r>
      </text>
    </comment>
    <comment ref="S368" authorId="0" shapeId="0" xr:uid="{CF008F6A-9B6A-475B-9424-1938AC010314}">
      <text>
        <r>
          <rPr>
            <b/>
            <sz val="8"/>
            <color indexed="81"/>
            <rFont val="Tahoma"/>
            <family val="2"/>
          </rPr>
          <t>Yamir Adrian Gomez:</t>
        </r>
        <r>
          <rPr>
            <sz val="8"/>
            <color indexed="81"/>
            <rFont val="Tahoma"/>
            <family val="2"/>
          </rPr>
          <t xml:space="preserve">
TECNICO ELECTRICISTA, CURSO INTERMEDIO SEGURO TRABAJO EN ALTURAS CURSO DE INSTALACIONES ELECTRICAS DOMICILIARIAS  CON ENFASIS EN RETIE, CURSO TEORICO PRACTICO EN SALUD OCUPACIONAL, REGLAMENTO TECNICO DE INST ELECTRICAS Y NORMAS JURIIDCAS, URSO INTERMEDIO TRABAJO SEGURO EN ALTURAS- AVANZADO EN ALTURAS </t>
        </r>
      </text>
    </comment>
    <comment ref="S369" authorId="0" shapeId="0" xr:uid="{73D1F390-DC0E-4E14-96E1-DC9B1EEE098F}">
      <text>
        <r>
          <rPr>
            <b/>
            <sz val="8"/>
            <color indexed="81"/>
            <rFont val="Tahoma"/>
            <family val="2"/>
          </rPr>
          <t>Yamir Adrian Gomez:</t>
        </r>
        <r>
          <rPr>
            <sz val="8"/>
            <color indexed="81"/>
            <rFont val="Tahoma"/>
            <family val="2"/>
          </rPr>
          <t xml:space="preserve">
TECNICO ELECTRICISTA, TECNICO EN CONSTRUCCION  Y MONTAJE DE INSTALACIONES ELECTRICAS, INTERMEDIO SEGURO TRABAJO EN ALTURAS, CURSO DE INFORMATICA BÀSICA, BACHILLERAACDEMICO. URSO INTERMEDIO TRABAJO SEGURO EN ALTURAS- AVANZADO EN ALTURAS</t>
        </r>
      </text>
    </comment>
    <comment ref="C370" authorId="0" shapeId="0" xr:uid="{37E8E5F9-8BCA-463F-91E5-3BDBB3B93675}">
      <text>
        <r>
          <rPr>
            <b/>
            <sz val="9"/>
            <color indexed="81"/>
            <rFont val="Tahoma"/>
            <family val="2"/>
          </rPr>
          <t>Yamir Adrian Gomez:</t>
        </r>
        <r>
          <rPr>
            <sz val="9"/>
            <color indexed="81"/>
            <rFont val="Tahoma"/>
            <family val="2"/>
          </rPr>
          <t xml:space="preserve">
CARGO DE RICHAR CHARFUELAN</t>
        </r>
      </text>
    </comment>
    <comment ref="S373" authorId="0" shapeId="0" xr:uid="{0261004F-8D84-4ADD-802A-EA675D822372}">
      <text>
        <r>
          <rPr>
            <b/>
            <sz val="8"/>
            <color indexed="81"/>
            <rFont val="Tahoma"/>
            <family val="2"/>
          </rPr>
          <t>Yamir Adrian Gomez:</t>
        </r>
        <r>
          <rPr>
            <sz val="8"/>
            <color indexed="81"/>
            <rFont val="Tahoma"/>
            <family val="2"/>
          </rPr>
          <t xml:space="preserve">
BACHILLER Académico CURSO INTERMEDIO SEGURO TRABAJO EN ALTURAS</t>
        </r>
      </text>
    </comment>
    <comment ref="S375" authorId="0" shapeId="0" xr:uid="{D89DB588-6184-4EFC-9EC7-BE420BB6EE30}">
      <text>
        <r>
          <rPr>
            <b/>
            <sz val="8"/>
            <color indexed="81"/>
            <rFont val="Tahoma"/>
            <family val="2"/>
          </rPr>
          <t>Yamir Adrian Gomez:</t>
        </r>
        <r>
          <rPr>
            <sz val="8"/>
            <color indexed="81"/>
            <rFont val="Tahoma"/>
            <family val="2"/>
          </rPr>
          <t xml:space="preserve">
TECNOLOGO EN ADMON FINANCIERA. PROFESIONAL DE ADMON DE EMPRESAS Y NEGOCIOS INTERNACIONALES,CURSO BASICO EN SISTEMAS, BACHILLER ACADEMICO, SECRETARIADO COMERCIAL, AUDITOR EN SISTEMA GESTION DE CALIDAD , CURSO DE OPERACIÓN EN SUBESTACIONES, ELECTRICIDAD BASICA, OPERADOR EN SISTEMAS, DIPLOMADO EN GERENCIA EN MERCADEO CURSO EN INETRNET, EXECL EMPRESARIA, </t>
        </r>
      </text>
    </comment>
    <comment ref="S376" authorId="0" shapeId="0" xr:uid="{03C0A7A8-41C3-4C98-8B86-5817CD9F1D89}">
      <text>
        <r>
          <rPr>
            <b/>
            <sz val="8"/>
            <color indexed="81"/>
            <rFont val="Tahoma"/>
            <family val="2"/>
          </rPr>
          <t>Yamir Adrian Gomez:</t>
        </r>
        <r>
          <rPr>
            <sz val="8"/>
            <color indexed="81"/>
            <rFont val="Tahoma"/>
            <family val="2"/>
          </rPr>
          <t xml:space="preserve">
CONTADOR PUBLICO, BACHILLER ACADEMICO, SEM LIDERAZGO EMPRESARIAL, TECNICO PROFESIONAL EN ADMINISTRACION DE EMPRESAS, TECNOLOGO EN ADMISTRACION FINANCIERA, LIDERAZGO EMPREASRIAL, NIVEL BASICO Y AVANZADO EN SISTEMAS, RETIE, NTC </t>
        </r>
      </text>
    </comment>
    <comment ref="S377" authorId="0" shapeId="0" xr:uid="{6AD023D8-8E11-4353-9DBA-313E7DA5D5D9}">
      <text>
        <r>
          <rPr>
            <b/>
            <sz val="8"/>
            <color indexed="81"/>
            <rFont val="Tahoma"/>
            <family val="2"/>
          </rPr>
          <t>Yamir Adrian Gomez:</t>
        </r>
        <r>
          <rPr>
            <sz val="8"/>
            <color indexed="81"/>
            <rFont val="Tahoma"/>
            <family val="2"/>
          </rPr>
          <t xml:space="preserve">
INGENIERO DE SISTEMAS.CAPACITACION TEORICO- PRACTICO DE ADMINISTRACION Y CONFIGURACION DE DISPOSITIVOS DE RED, VPN, VLAN, Y SISTEMA OPERATIVO LINUX. WINDOWS SEVER 2012 R2, </t>
        </r>
      </text>
    </comment>
    <comment ref="S378" authorId="0" shapeId="0" xr:uid="{04FBE6AF-2924-415F-A348-645DADD9397B}">
      <text>
        <r>
          <rPr>
            <b/>
            <sz val="8"/>
            <color indexed="81"/>
            <rFont val="Tahoma"/>
            <family val="2"/>
          </rPr>
          <t>Yamir Adrian Gomez:</t>
        </r>
        <r>
          <rPr>
            <sz val="8"/>
            <color indexed="81"/>
            <rFont val="Tahoma"/>
            <family val="2"/>
          </rPr>
          <t xml:space="preserve">
ADMINISTRADOR PUBLICO, BACHILLER ACADEMICO, MECANOGRAFO RECECPCIONISTA, INGLES BASICO, TECNICO PROFESIONAL EN PROCEDIMIENTOS JUDICIALES, CRIMINALISTICA Y CIENCIAS FORENCES, DIPLOMADO DE SISTEMA PENAL ACUSATORIO, REDES E INTERNET,  CURSO BASICO EN SITEMAS,</t>
        </r>
      </text>
    </comment>
    <comment ref="S379" authorId="0" shapeId="0" xr:uid="{1FA34BA8-432E-4BFC-A708-3CF6793178D3}">
      <text>
        <r>
          <rPr>
            <b/>
            <sz val="8"/>
            <color indexed="81"/>
            <rFont val="Tahoma"/>
            <family val="2"/>
          </rPr>
          <t>Yamir Adrian Gomez:</t>
        </r>
        <r>
          <rPr>
            <sz val="8"/>
            <color indexed="81"/>
            <rFont val="Tahoma"/>
            <family val="2"/>
          </rPr>
          <t xml:space="preserve">
INGENIERO DE SISTEMAS, BACHILLER ACADEMICO</t>
        </r>
      </text>
    </comment>
    <comment ref="C380" authorId="0" shapeId="0" xr:uid="{B2DAD7C3-00D5-40D8-860E-2C26C76CACDD}">
      <text>
        <r>
          <rPr>
            <b/>
            <sz val="9"/>
            <color indexed="81"/>
            <rFont val="Tahoma"/>
            <family val="2"/>
          </rPr>
          <t>Yamir Adrian Gomez:</t>
        </r>
        <r>
          <rPr>
            <sz val="9"/>
            <color indexed="81"/>
            <rFont val="Tahoma"/>
            <family val="2"/>
          </rPr>
          <t xml:space="preserve">
CARGO DE MARIO CORAL QUIEN RENUNCIO A PARTIR DEL 01/08/26</t>
        </r>
      </text>
    </comment>
    <comment ref="S380" authorId="0" shapeId="0" xr:uid="{BCA17C2F-626B-4365-9C70-73631830B09D}">
      <text>
        <r>
          <rPr>
            <b/>
            <sz val="8"/>
            <color indexed="81"/>
            <rFont val="Tahoma"/>
            <family val="2"/>
          </rPr>
          <t>Yamir Adrian Gomez:</t>
        </r>
        <r>
          <rPr>
            <sz val="8"/>
            <color indexed="81"/>
            <rFont val="Tahoma"/>
            <family val="2"/>
          </rPr>
          <t xml:space="preserve">
TECNICO EN GESTION INTEGRAL DE SISTEMAS,BACHILLER ACADEMICO, OERADOR EN SITEMAS, CURSO BASICO EN SISTEMAS, AUXILIAR EN SUBESTACIONES, GESTION BASICA DE COOPERATIVISMO</t>
        </r>
      </text>
    </comment>
    <comment ref="C381" authorId="0" shapeId="0" xr:uid="{65435438-1480-4963-B4E8-EF86EF6295EB}">
      <text>
        <r>
          <rPr>
            <b/>
            <sz val="9"/>
            <color indexed="81"/>
            <rFont val="Tahoma"/>
            <family val="2"/>
          </rPr>
          <t>Yamir Adrian Gomez:</t>
        </r>
        <r>
          <rPr>
            <sz val="9"/>
            <color indexed="81"/>
            <rFont val="Tahoma"/>
            <family val="2"/>
          </rPr>
          <t xml:space="preserve">
evelio bastidas</t>
        </r>
      </text>
    </comment>
    <comment ref="S382" authorId="0" shapeId="0" xr:uid="{F11E4BA8-1642-44C7-953C-E86944BE8799}">
      <text>
        <r>
          <rPr>
            <b/>
            <sz val="8"/>
            <color indexed="81"/>
            <rFont val="Tahoma"/>
            <family val="2"/>
          </rPr>
          <t>Yamir Adrian Gomez:</t>
        </r>
        <r>
          <rPr>
            <sz val="8"/>
            <color indexed="81"/>
            <rFont val="Tahoma"/>
            <family val="2"/>
          </rPr>
          <t xml:space="preserve">
SEMINARIO DEL REGLAMENTO RECNICO DE INASTALACIONES ELECTRICAS Y NORMAS JURIDICAS, CURSO DE INSTALACIONES ELECTRICAS  PUESTA A TIERRA, SEMINARIO INSTALACIONES INTERNAS DOMICILIARIAS CON ENFASSIS EN RETIE, RETILAP, NTC 2050, INTERMEDIO TRABAJO SEGURO EN ALTURAS, CONTROLAR LOS RIESGOS DE TRABAJO EN ALTURAS DE ACUERDO A LA TAREA A REALIZAR, ACTIVIDADE ECONOMICA Y NORMATIVIDAD VIGENTE, </t>
        </r>
      </text>
    </comment>
    <comment ref="S383" authorId="0" shapeId="0" xr:uid="{7931EF65-5448-4635-8686-C2D08CB3B88B}">
      <text>
        <r>
          <rPr>
            <b/>
            <sz val="8"/>
            <color indexed="81"/>
            <rFont val="Tahoma"/>
            <family val="2"/>
          </rPr>
          <t>Yamir Adrian Gomez:</t>
        </r>
        <r>
          <rPr>
            <sz val="8"/>
            <color indexed="81"/>
            <rFont val="Tahoma"/>
            <family val="2"/>
          </rPr>
          <t xml:space="preserve">
TECNICO ELECTRICISAT, TECNICO POLICIA JUDICIAL, BACHILLER ACADEMINO, GESTION BASICA DE COOPERATIVISMO, CAP TEORICA PRACTICA EN SALUD OCUPACIONAL, CURSA DE INSTALACIONES ELCETRICAS,CURSO BASICO EN SISTEMAS,INTEMRDIO TRABAJO EN ALTURAS</t>
        </r>
      </text>
    </comment>
    <comment ref="C384" authorId="1" shapeId="0" xr:uid="{13170C66-0D5B-4A38-BDD0-1348CCCC17D7}">
      <text>
        <r>
          <rPr>
            <b/>
            <sz val="9"/>
            <color indexed="81"/>
            <rFont val="Tahoma"/>
            <family val="2"/>
          </rPr>
          <t>YAMIR GOMEZ:</t>
        </r>
        <r>
          <rPr>
            <sz val="9"/>
            <color indexed="81"/>
            <rFont val="Tahoma"/>
            <family val="2"/>
          </rPr>
          <t xml:space="preserve">
Lopez luis manuel, quien  se retiro hasta el 31/08/21 jubilacion con colpensiones</t>
        </r>
      </text>
    </comment>
    <comment ref="S384" authorId="0" shapeId="0" xr:uid="{5D845C85-0B7C-4AAA-835C-7FBBFFC7CB47}">
      <text>
        <r>
          <rPr>
            <b/>
            <sz val="8"/>
            <color indexed="81"/>
            <rFont val="Tahoma"/>
            <family val="2"/>
          </rPr>
          <t>Yamir Adrian Gomez:</t>
        </r>
        <r>
          <rPr>
            <sz val="8"/>
            <color indexed="81"/>
            <rFont val="Tahoma"/>
            <family val="2"/>
          </rPr>
          <t xml:space="preserve">
TECNICO ELECTRICISAT, INTERMEDIO TRABAJO SEGURO EN ALTURAS, COMPETENCIAL LABORAL EN ALTURAS, BACHILLER ACADEMICO,  AUXILIAR SUBESTACION, GESTION BASICA DE COOPERATIVISMO</t>
        </r>
      </text>
    </comment>
    <comment ref="S385" authorId="0" shapeId="0" xr:uid="{635857B8-87C7-41B1-8BFB-F8D25EAAB665}">
      <text>
        <r>
          <rPr>
            <b/>
            <sz val="8"/>
            <color indexed="81"/>
            <rFont val="Tahoma"/>
            <family val="2"/>
          </rPr>
          <t>Yamir Adrian Gomez:</t>
        </r>
        <r>
          <rPr>
            <sz val="8"/>
            <color indexed="81"/>
            <rFont val="Tahoma"/>
            <family val="2"/>
          </rPr>
          <t xml:space="preserve">
TECNICO ELECTRICISTA</t>
        </r>
      </text>
    </comment>
    <comment ref="S386" authorId="0" shapeId="0" xr:uid="{249C9F12-6123-494A-A083-FA3088A5EE08}">
      <text>
        <r>
          <rPr>
            <b/>
            <sz val="8"/>
            <color indexed="81"/>
            <rFont val="Tahoma"/>
            <family val="2"/>
          </rPr>
          <t>Yamir Adrian Gomez:</t>
        </r>
        <r>
          <rPr>
            <sz val="8"/>
            <color indexed="81"/>
            <rFont val="Tahoma"/>
            <family val="2"/>
          </rPr>
          <t xml:space="preserve">
CURSO DE SISTEMAS BASICO, SEMINARIO PERDIDAS DE ENERIGA NIVEL I CON ENFASIS EN RETIE NTC 2050, RETILAP, INTERMEDIO TRABAJO SEGURO EN ALTURAS, CONTROLAR LOS RIESGOS DE TRABAJO EN ALTURAS DE ACUERDO A LA TAREA A REALIZAR, ACTIVIDADE ECONOMICA Y NORMATIVIDAD VIGENTE, AVANZADO TRABAJO SEGUROEN ALTURAS</t>
        </r>
      </text>
    </comment>
    <comment ref="C387" authorId="0" shapeId="0" xr:uid="{A5493934-0032-4F18-A308-F9EC467BD899}">
      <text>
        <r>
          <rPr>
            <b/>
            <sz val="9"/>
            <color indexed="81"/>
            <rFont val="Tahoma"/>
            <family val="2"/>
          </rPr>
          <t>Yamir Adrian Gomez:</t>
        </r>
        <r>
          <rPr>
            <sz val="9"/>
            <color indexed="81"/>
            <rFont val="Tahoma"/>
            <family val="2"/>
          </rPr>
          <t xml:space="preserve">
cargo de alberto garzon quien renuncio hasta el dia 12/06/24.</t>
        </r>
      </text>
    </comment>
    <comment ref="S387" authorId="0" shapeId="0" xr:uid="{ABAFD67D-6596-41BF-A919-85B36E4FAD04}">
      <text>
        <r>
          <rPr>
            <b/>
            <sz val="8"/>
            <color indexed="81"/>
            <rFont val="Tahoma"/>
            <family val="2"/>
          </rPr>
          <t>Yamir Adrian Gomez:</t>
        </r>
        <r>
          <rPr>
            <sz val="8"/>
            <color indexed="81"/>
            <rFont val="Tahoma"/>
            <family val="2"/>
          </rPr>
          <t xml:space="preserve">
TECNICO EN SISTEMAS, INFORMATICA BASICA E INTERNET, INTERMEDIO TRABAJO SEGURO EN ALTURAS, CONTROLAR LOS RIESGOS DE TRABAJO EN ALTURAS DE ACUERDO A LA TAREA A REALIZAR, ACTIVIDADE ECONOMICA Y NORMATIVIDAD VIGENTE, SEMINARIO DE PERDIDAS DE ENERGIA NIVEL ICON ENFASIS EN RETIE, NTC 2050, RETILAP, SEMINARIO MEDIDAS DE PREVENCION EN RISEGO ELECTRICOCON LINEAS ENERGIZADAS Y DESENERGIZADAS DE MEDIA Y BAJA TENSION Y SUBESTACIONES DE ENERGIA, BASICO TRABAJO SEGURO EN ALTURAS, GESTION DE PROYECTOS COMUNITARIOS, INFORMATICA AVANZADA, AVANZADO TRABAJO SEGURO EN ALTURAS, INTERPRETACION DE PLANOS DE INSTALACIONES, DISEÑOR DE INSTALACIONES  ELECTRICAS RESIDENCIALES, REGLAMENTO TECNICO DE INSTALACIONES  ELECTRICAS RETIE, RE ENTRENAMIENTO TRABAJO SEGURO EN ALTURAS.</t>
        </r>
      </text>
    </comment>
    <comment ref="C388" authorId="0" shapeId="0" xr:uid="{2A233FED-4C64-4066-9EC0-2B45D7EFBDA7}">
      <text>
        <r>
          <rPr>
            <b/>
            <sz val="9"/>
            <color indexed="81"/>
            <rFont val="Tahoma"/>
            <family val="2"/>
          </rPr>
          <t>Yamir Adrian Gomez:</t>
        </r>
        <r>
          <rPr>
            <sz val="9"/>
            <color indexed="81"/>
            <rFont val="Tahoma"/>
            <family val="2"/>
          </rPr>
          <t xml:space="preserve">
milton delgado</t>
        </r>
      </text>
    </comment>
    <comment ref="S388" authorId="0" shapeId="0" xr:uid="{0476F4BF-0B30-4BFC-B113-4798F4C7FDB2}">
      <text>
        <r>
          <rPr>
            <b/>
            <sz val="9"/>
            <color indexed="81"/>
            <rFont val="Tahoma"/>
            <family val="2"/>
          </rPr>
          <t>Yamir Adrian Gomez:</t>
        </r>
        <r>
          <rPr>
            <sz val="9"/>
            <color indexed="81"/>
            <rFont val="Tahoma"/>
            <family val="2"/>
          </rPr>
          <t xml:space="preserve">
BACHILLER ACADEMICO</t>
        </r>
      </text>
    </comment>
    <comment ref="S389" authorId="0" shapeId="0" xr:uid="{49B4C15E-39FE-43EE-89A4-139723AD7F41}">
      <text>
        <r>
          <rPr>
            <b/>
            <sz val="8"/>
            <color indexed="81"/>
            <rFont val="Tahoma"/>
            <family val="2"/>
          </rPr>
          <t>Yamir Adrian Gomez:</t>
        </r>
        <r>
          <rPr>
            <sz val="8"/>
            <color indexed="81"/>
            <rFont val="Tahoma"/>
            <family val="2"/>
          </rPr>
          <t xml:space="preserve">
INTERMEDIO DE TRABAJOS EN ALTURAS, CONTROLAR LOS RIESGOS DE TRABAJO EN ALTURAS DE ACUERDO A LA TAREA A REALIZAR, ACTIVIDADE ECONOMICA Y NORMATIVIDAD VIGENTE, RE ENTRENAMIENTO TRABAJO SEGURO EN ALTURAS</t>
        </r>
      </text>
    </comment>
    <comment ref="S391" authorId="0" shapeId="0" xr:uid="{F54DF9C1-B799-418F-A1B6-08E5D3182E2C}">
      <text>
        <r>
          <rPr>
            <b/>
            <sz val="8"/>
            <color indexed="81"/>
            <rFont val="Tahoma"/>
            <family val="2"/>
          </rPr>
          <t>Yamir Adrian Gomez:</t>
        </r>
        <r>
          <rPr>
            <sz val="8"/>
            <color indexed="81"/>
            <rFont val="Tahoma"/>
            <family val="2"/>
          </rPr>
          <t xml:space="preserve">
TECNICO ELECTRICISTA, BACHILLER ACADEMICO. CURSO BASICA DE COOPERATIVISMO, CURSO BASICO DE SISTEMAS, CURSO DE INSATLACIONES ELCETRICAS, CURSO DE INTERNET, CURSO DE INFORMATIVA BASICA,</t>
        </r>
      </text>
    </comment>
    <comment ref="C392" authorId="1" shapeId="0" xr:uid="{194D5F3F-6DF3-4D15-BF50-5C18698B9FEC}">
      <text>
        <r>
          <rPr>
            <b/>
            <sz val="9"/>
            <color indexed="81"/>
            <rFont val="Tahoma"/>
            <family val="2"/>
          </rPr>
          <t>YAMIR GOMEZ:</t>
        </r>
        <r>
          <rPr>
            <sz val="9"/>
            <color indexed="81"/>
            <rFont val="Tahoma"/>
            <family val="2"/>
          </rPr>
          <t xml:space="preserve">
CARGO DE EDWIN Paredes quien fallecio </t>
        </r>
      </text>
    </comment>
    <comment ref="C393" authorId="0" shapeId="0" xr:uid="{670E7B2D-7D1F-44AD-88A5-64D26899AB19}">
      <text>
        <r>
          <rPr>
            <b/>
            <sz val="9"/>
            <color indexed="81"/>
            <rFont val="Tahoma"/>
            <family val="2"/>
          </rPr>
          <t>Yamir Adrian Gomez:</t>
        </r>
        <r>
          <rPr>
            <sz val="9"/>
            <color indexed="81"/>
            <rFont val="Tahoma"/>
            <family val="2"/>
          </rPr>
          <t xml:space="preserve">
. CARGO DE JAIME BENAVIDES QUIEN PASO A OPER SUBES. CARGO DE LARA QUIEN PASO A OPER SUBEST</t>
        </r>
      </text>
    </comment>
    <comment ref="S393" authorId="0" shapeId="0" xr:uid="{25CCF979-BD02-4E4E-B865-C0DBDAED0F26}">
      <text>
        <r>
          <rPr>
            <b/>
            <sz val="8"/>
            <color indexed="81"/>
            <rFont val="Tahoma"/>
            <family val="2"/>
          </rPr>
          <t>Yamir Adrian Gomez:</t>
        </r>
        <r>
          <rPr>
            <sz val="8"/>
            <color indexed="81"/>
            <rFont val="Tahoma"/>
            <family val="2"/>
          </rPr>
          <t xml:space="preserve">
TECNICO ELECTRICISTA, BACHILLER  ACADEMICO, FORMACION EN MECANICA AUTOMOTRIZ, </t>
        </r>
      </text>
    </comment>
    <comment ref="C394" authorId="0" shapeId="0" xr:uid="{E43199F1-E140-4EAB-88BD-E19693728271}">
      <text>
        <r>
          <rPr>
            <b/>
            <sz val="9"/>
            <color indexed="81"/>
            <rFont val="Tahoma"/>
            <family val="2"/>
          </rPr>
          <t>Yamir Adrian Gomez:</t>
        </r>
        <r>
          <rPr>
            <sz val="9"/>
            <color indexed="81"/>
            <rFont val="Tahoma"/>
            <family val="2"/>
          </rPr>
          <t xml:space="preserve">
jesus jaime benavides</t>
        </r>
      </text>
    </comment>
    <comment ref="S395" authorId="0" shapeId="0" xr:uid="{0A867D02-FD12-492D-8ACD-71638B2A6947}">
      <text>
        <r>
          <rPr>
            <b/>
            <sz val="8"/>
            <color indexed="81"/>
            <rFont val="Tahoma"/>
            <family val="2"/>
          </rPr>
          <t>Yamir Adrian Gomez:</t>
        </r>
        <r>
          <rPr>
            <sz val="8"/>
            <color indexed="81"/>
            <rFont val="Tahoma"/>
            <family val="2"/>
          </rPr>
          <t xml:space="preserve">
FORMACION TRATAMIENTO DE AGUAS, FORMACION PRACTICA EN SISTEMAS NIVEL DE GESTION BASICA, CURSO BASICO EN SISTEMAS, SECRETARIADO COMERCIAL, SEMINARIO TALLER MANEJO OPTIMO DE PLANTAS DE TRATAMIENTO DE AGUA POTABLE,CONTABILIDAD GENERAL , CURSO DE INSTALACIONES ELECTRICAS Y PUESTA  A TIERRA, SEMINARIO DEL REGLAMENTO TECNICO DE INASTALACIONES ELECTRICAS Y NORMAS JURIDICAS, SEMINARIO INSTALACIONES INTERNAS DOMICILIARIOS CON ENFASIS EN RETIE, NTC 2050 RETILAP, INTERMEDIO TRABAJO SEGURO EN ALTURAS, CONTROLAR LOS RIESGOS DE TRABAJO EN ALTURAS DE ACUERDO A LA TAREA A REALIZAR, ACTIVIDADE ECONOMICA Y NORMATIVIDAD VIGENTE, INTERPRETACION DE PLANOS DE INSTALACIONES</t>
        </r>
      </text>
    </comment>
    <comment ref="C396" authorId="0" shapeId="0" xr:uid="{2A056FC9-2F37-477F-81B0-EE2DA3B0DD07}">
      <text>
        <r>
          <rPr>
            <b/>
            <sz val="9"/>
            <color indexed="81"/>
            <rFont val="Tahoma"/>
            <family val="2"/>
          </rPr>
          <t>Yamir Adrian Gomez:</t>
        </r>
        <r>
          <rPr>
            <sz val="9"/>
            <color indexed="81"/>
            <rFont val="Tahoma"/>
            <family val="2"/>
          </rPr>
          <t xml:space="preserve">
Encargo de Recauda inst.desde 01/09/2024. Cargo de MIGUEL GUERRERO ALVAREZ QUIEN FALELCIO EL 18/10/25.</t>
        </r>
      </text>
    </comment>
    <comment ref="S396" authorId="0" shapeId="0" xr:uid="{960736A5-7D1C-4ECB-8A22-503D782447FC}">
      <text>
        <r>
          <rPr>
            <b/>
            <sz val="9"/>
            <color indexed="81"/>
            <rFont val="Tahoma"/>
            <family val="2"/>
          </rPr>
          <t>Yamir Adrian Gomez:</t>
        </r>
        <r>
          <rPr>
            <sz val="9"/>
            <color indexed="81"/>
            <rFont val="Tahoma"/>
            <family val="2"/>
          </rPr>
          <t xml:space="preserve">
TECNICO ELECTRICISTA</t>
        </r>
      </text>
    </comment>
    <comment ref="S397" authorId="0" shapeId="0" xr:uid="{C2DC3180-191C-4424-B29E-E910B7CAE95F}">
      <text>
        <r>
          <rPr>
            <b/>
            <sz val="8"/>
            <color indexed="81"/>
            <rFont val="Tahoma"/>
            <family val="2"/>
          </rPr>
          <t>Yamir Adrian Gomez:</t>
        </r>
        <r>
          <rPr>
            <sz val="8"/>
            <color indexed="81"/>
            <rFont val="Tahoma"/>
            <family val="2"/>
          </rPr>
          <t xml:space="preserve">
 CURSO BASICO MOTORES DIESEL, CAPACITACION DE DERECHOS HUMANOS, SEMINARIO DE NUEVA LEY DE SERVICIOS PUBLICO Y METODOLOGIAS  DE ESTARTIFICACIÒN, INFORMATICA BASICA, SEMINARIO RETIE, INTERMEDIO TRABAJO SEGURO EN ALTURAS,  CONTROLAR LOS RIESGOS DE TRABAJO EN ALTURAS DE ACUERDO A LA TAREA A REALIZAR, ACTIVIDADE ECONOMICA Y NORMATIVIDAD VIGENTE, RE ENTRENAMIENTO EN ALTURAS</t>
        </r>
      </text>
    </comment>
    <comment ref="S398" authorId="0" shapeId="0" xr:uid="{7A58C0E5-3B18-4102-912C-3E16C044469F}">
      <text>
        <r>
          <rPr>
            <b/>
            <sz val="8"/>
            <color indexed="81"/>
            <rFont val="Tahoma"/>
            <family val="2"/>
          </rPr>
          <t>Yamir Adrian Gomez:</t>
        </r>
        <r>
          <rPr>
            <sz val="8"/>
            <color indexed="81"/>
            <rFont val="Tahoma"/>
            <family val="2"/>
          </rPr>
          <t xml:space="preserve">
SEMINARIO DEL REGLAMENTO RECNICO DE INASTALACIONES ELECTRICAS Y NORMAS JURIDICAS, CURSO DE INSTALACIONES ELECTRICAS  PUESTA A TIERRA, SEMINARIO INSTALACIONES INTERNAS DOMICILIARIAS CON ENFASSIS EN RETIE, RETILAP, NTC 2050, INTERMEDIO TRABAJO SEGURO EN ALTURAS, CONTROLAR LOS RIESGOS DE TRABAJO EN ALTURAS DE ACUERDO A LA TAREA A REALIZAR, ACTIVIDADE ECONOMICA Y NORMATIVIDAD VIGENTE, </t>
        </r>
      </text>
    </comment>
    <comment ref="S399" authorId="0" shapeId="0" xr:uid="{F19975D7-047E-4F33-B107-448C5C94062E}">
      <text>
        <r>
          <rPr>
            <b/>
            <sz val="8"/>
            <color indexed="81"/>
            <rFont val="Tahoma"/>
            <family val="2"/>
          </rPr>
          <t>Yamir Adrian Gomez:</t>
        </r>
        <r>
          <rPr>
            <sz val="8"/>
            <color indexed="81"/>
            <rFont val="Tahoma"/>
            <family val="2"/>
          </rPr>
          <t xml:space="preserve">
AUXILIAR DE SISTEMAS, SEMINARIO DEL REGLAMENTO TECNICO DE INSTALACIONE ELECTRICAS NORMAS JURIDICAS, CONSTRUCCIONES, OFFICE RECARGADO, CURSO DE INSTALACIONES ELECTRICAS Y PUESTA A TIERRA, INFORMATICA II, INTERMEDIO TRABAJO SEGURO EN ALTURAS,  CONTROLAR LOS RIESGOS DE TRABAJO EN ALTURAS DE ACUERDO A LA TAREA A REALIZAR, ACTIVIDADE ECONOMICA Y NORMATIVIDAD VIGENTE, RE ENTRENAMIENTO TRABAJO SEGURO EN ALTURAS</t>
        </r>
      </text>
    </comment>
    <comment ref="S400" authorId="0" shapeId="0" xr:uid="{9E524ECF-2A9F-4079-89A9-7C8D06936FC5}">
      <text>
        <r>
          <rPr>
            <b/>
            <sz val="8"/>
            <color indexed="81"/>
            <rFont val="Tahoma"/>
            <family val="2"/>
          </rPr>
          <t>Yamir Adrian Gomez:</t>
        </r>
        <r>
          <rPr>
            <sz val="8"/>
            <color indexed="81"/>
            <rFont val="Tahoma"/>
            <family val="2"/>
          </rPr>
          <t xml:space="preserve">
SEMINARIO DE INSTALACIONES INTERNAS DOMICILIARIAS CON ENFASIS RETIE, NTC 2050 RETILAP, SEMINARIO REGLAMENTO TECNICO DE INSTALACIONES ELECTRICAS Y NORMAS JURIDICAS, INTERMEDIO TRABAJO SEGURO EN ALTURAS, INSTALACIONES ELECTRICASDOMICILIARIA, CURSO DE INGLES BASICO I, II, III, TECNICO EN CONSTRUCCION Y MANTENIMIENTO DE REDES AEREAS DE DISTRIBUCION DE ENERGIA ELECTRICAS DESENEGIZADAS, RE ENTRENAMIENTO TRABAJO SEGURO EN ALTURAS.</t>
        </r>
      </text>
    </comment>
    <comment ref="S401" authorId="0" shapeId="0" xr:uid="{B161703A-3BFB-4988-92B6-B25EC50CB705}">
      <text>
        <r>
          <rPr>
            <b/>
            <sz val="8"/>
            <color indexed="81"/>
            <rFont val="Tahoma"/>
            <family val="2"/>
          </rPr>
          <t>Yamir Adrian Gomez:</t>
        </r>
        <r>
          <rPr>
            <sz val="8"/>
            <color indexed="81"/>
            <rFont val="Tahoma"/>
            <family val="2"/>
          </rPr>
          <t xml:space="preserve">
RE ENTRENAMIENTO TRABAJO SEGURO EN ALTURAS</t>
        </r>
      </text>
    </comment>
    <comment ref="S402" authorId="0" shapeId="0" xr:uid="{01AFB289-5C04-4299-BE6C-9ADCC1227B6C}">
      <text>
        <r>
          <rPr>
            <b/>
            <sz val="8"/>
            <color indexed="81"/>
            <rFont val="Tahoma"/>
            <family val="2"/>
          </rPr>
          <t>Yamir Adrian Gomez:</t>
        </r>
        <r>
          <rPr>
            <sz val="8"/>
            <color indexed="81"/>
            <rFont val="Tahoma"/>
            <family val="2"/>
          </rPr>
          <t xml:space="preserve">
 AUXILIAR DE POLICIA, SEMINARIO DE REGLAMENTO TECNICO DE INSTALACIONES ELECTRICAS Y NORMAS JURIDICAS, CURSO DE INSTALACIONES ELECTRICAS Y SISTEMA DE PUESTA A TIERRA, INFORMATICA BASICA E INTERNET, TECNICO EN MANTENIMIENTO DE REDES, INFORMATICA II, SEMINARIO DE INSTALACIONES INTERNAS DOMICILIARIAS CON ENFASIS RETIE, NTC 2050 RETILAP,  INTERMEDIO SEGURO EN ALTURAS, SEMNARIO DE PERDIDAS DE ENERGIA NIVEL I CON ENFASIS EN RETIE NTC 2050, INFORMATICA BASICA, RE ENTRENAMIENTO EN ALTURAS.</t>
        </r>
      </text>
    </comment>
    <comment ref="C403" authorId="0" shapeId="0" xr:uid="{4C5C9474-3850-4C27-9AE0-6C9BBE250CB0}">
      <text>
        <r>
          <rPr>
            <b/>
            <sz val="8"/>
            <color indexed="81"/>
            <rFont val="Tahoma"/>
            <family val="2"/>
          </rPr>
          <t>Yamir Adrian Gomez:</t>
        </r>
        <r>
          <rPr>
            <sz val="8"/>
            <color indexed="81"/>
            <rFont val="Tahoma"/>
            <family val="2"/>
          </rPr>
          <t xml:space="preserve">
CARGO DE CARLOS BENAVIDES QUIEN RENUNCIO A APRTIR DE FEBRERO DE 2018.</t>
        </r>
      </text>
    </comment>
    <comment ref="S403" authorId="0" shapeId="0" xr:uid="{8E8FFFEC-0DE4-4418-9E2B-84B748F7F9A6}">
      <text>
        <r>
          <rPr>
            <b/>
            <sz val="8"/>
            <color indexed="81"/>
            <rFont val="Tahoma"/>
            <family val="2"/>
          </rPr>
          <t>Yamir Adrian Gomez:</t>
        </r>
        <r>
          <rPr>
            <sz val="8"/>
            <color indexed="81"/>
            <rFont val="Tahoma"/>
            <family val="2"/>
          </rPr>
          <t xml:space="preserve">
TECNICO EN SISTEMAS, CURSO EN LACTEOS, CURSO DE CONTABILIDAD, SEMINARIO TALLER DE CALCULO, DISEÑO Y CONSUTRCCION DE REDES ELECTRICAS EN MEDIA Y BAJA TENSION APLICANDO RETIE, NTC 2050, TRABAJO SEGURO EN ALTURAS, RE ENTRENAMIENTO TRABAJO SEGURO EN ALTURAS.</t>
        </r>
      </text>
    </comment>
    <comment ref="C404" authorId="0" shapeId="0" xr:uid="{DDFA566D-428F-4D6B-895B-2E9FB0F71DAF}">
      <text>
        <r>
          <rPr>
            <b/>
            <sz val="9"/>
            <color indexed="81"/>
            <rFont val="Tahoma"/>
            <family val="2"/>
          </rPr>
          <t>Yamir Adrian Gomez:</t>
        </r>
        <r>
          <rPr>
            <sz val="9"/>
            <color indexed="81"/>
            <rFont val="Tahoma"/>
            <family val="2"/>
          </rPr>
          <t xml:space="preserve">
CARGO DE CAMILO ALEXANDER URBINA QUIEN RENUNCIO A PARTRI DEL 10/07/26</t>
        </r>
      </text>
    </comment>
    <comment ref="S404" authorId="0" shapeId="0" xr:uid="{D0AB4975-5A6D-48BD-AFFA-9702DF20E73B}">
      <text>
        <r>
          <rPr>
            <b/>
            <sz val="8"/>
            <color indexed="81"/>
            <rFont val="Tahoma"/>
            <family val="2"/>
          </rPr>
          <t>Yamir Adrian Gomez:</t>
        </r>
        <r>
          <rPr>
            <sz val="8"/>
            <color indexed="81"/>
            <rFont val="Tahoma"/>
            <family val="2"/>
          </rPr>
          <t xml:space="preserve">
REGLAMENTO TECNICO INSTALACIONES ELECTRICAS, TECNICO EN SISTEMAS, INTERPRETACION DE PLANOS DE INSTALACIONES, DISEÑO DE INSTALACIONES ELECTRICAS RESIDENCIALES</t>
        </r>
      </text>
    </comment>
    <comment ref="S405" authorId="0" shapeId="0" xr:uid="{A93B57ED-A4A9-43DE-BF2B-16B2CE6E2BBD}">
      <text>
        <r>
          <rPr>
            <b/>
            <sz val="8"/>
            <color indexed="81"/>
            <rFont val="Tahoma"/>
            <family val="2"/>
          </rPr>
          <t>Yamir Adrian Gomez:</t>
        </r>
        <r>
          <rPr>
            <sz val="8"/>
            <color indexed="81"/>
            <rFont val="Tahoma"/>
            <family val="2"/>
          </rPr>
          <t xml:space="preserve">
CONTABILIDAD I y II, CAPACITACION Y ENTRENAMIENTO PARA EL FORTALECIMIENTO DE LOS PROYECTOS DE RECUPERACION DE PERDIDAS DE ENERGIA, TRABAJO SEGURO EN ALTURAS AVANZADO, REENTRENAMIENTO TRABAJO SEGURO EN ALTURAS.</t>
        </r>
      </text>
    </comment>
    <comment ref="S406" authorId="0" shapeId="0" xr:uid="{C3BAE0AB-6BA1-406D-914A-02DB183FE39C}">
      <text>
        <r>
          <rPr>
            <b/>
            <sz val="8"/>
            <color indexed="81"/>
            <rFont val="Tahoma"/>
            <family val="2"/>
          </rPr>
          <t>Yamir Adrian Gomez:</t>
        </r>
        <r>
          <rPr>
            <sz val="8"/>
            <color indexed="81"/>
            <rFont val="Tahoma"/>
            <family val="2"/>
          </rPr>
          <t xml:space="preserve">
TECNICO ELECTRICISTA, BACHILLER ACADEMICO, AUXILIAR DE SUBESTACIONES, GESTION BASICA DE COOPERATIVISMO, CURSO BASICO EN SITEMAS, INTERMEDIO BASCIO EN ALTUARS, SEMINARIO EN ALTURAS Y NORMA JURIDICA, SEMINARIO EN RETIE</t>
        </r>
      </text>
    </comment>
    <comment ref="S407" authorId="0" shapeId="0" xr:uid="{02098476-FDB6-4B71-B23B-F03DC7075291}">
      <text>
        <r>
          <rPr>
            <b/>
            <sz val="8"/>
            <color indexed="81"/>
            <rFont val="Tahoma"/>
            <family val="2"/>
          </rPr>
          <t>Yamir Adrian Gomez:</t>
        </r>
        <r>
          <rPr>
            <sz val="8"/>
            <color indexed="81"/>
            <rFont val="Tahoma"/>
            <family val="2"/>
          </rPr>
          <t xml:space="preserve">
TECNICO ELECTRICISTA, CURSO BASICO REPARACION APARTDO DOMESTICOS, SEMIANRIO RETIE, CURSO BASICO EN ALTURAS, CURSO BASICO EN SISTEMAS</t>
        </r>
      </text>
    </comment>
    <comment ref="S408" authorId="0" shapeId="0" xr:uid="{189D0C7B-20C7-44FD-B103-5F470582A2B0}">
      <text>
        <r>
          <rPr>
            <b/>
            <sz val="8"/>
            <color indexed="81"/>
            <rFont val="Tahoma"/>
            <family val="2"/>
          </rPr>
          <t>Yamir Adrian Gomez:</t>
        </r>
        <r>
          <rPr>
            <sz val="8"/>
            <color indexed="81"/>
            <rFont val="Tahoma"/>
            <family val="2"/>
          </rPr>
          <t xml:space="preserve">
TECNICO ELECTRICISTA, AUXILIAR DE SUBESTACIONES, CURSO BASICO DE COOPERTAIVISMO, TECNICO EN INSTALACIONES Y NORMAS JURIDICAS, INSATLACIONES ELECTR Y SISTEMA PUESTA A TIERRA, RETIE, TRABAJAO SEGURO EN ALTURAS, INFORMATICA BASICA</t>
        </r>
      </text>
    </comment>
    <comment ref="C409" authorId="0" shapeId="0" xr:uid="{06B630C7-A933-4B0F-BE8B-4977DE61A446}">
      <text>
        <r>
          <rPr>
            <b/>
            <sz val="9"/>
            <color indexed="81"/>
            <rFont val="Tahoma"/>
            <family val="2"/>
          </rPr>
          <t>Yamir Adrian Gomez:</t>
        </r>
        <r>
          <rPr>
            <sz val="9"/>
            <color indexed="81"/>
            <rFont val="Tahoma"/>
            <family val="2"/>
          </rPr>
          <t xml:space="preserve">
CARGO DE AYDA MAYA</t>
        </r>
      </text>
    </comment>
    <comment ref="S409" authorId="0" shapeId="0" xr:uid="{FE0BB7B7-92E8-4602-AA13-1BA2CBB5B24E}">
      <text>
        <r>
          <rPr>
            <b/>
            <sz val="8"/>
            <color indexed="81"/>
            <rFont val="Tahoma"/>
            <family val="2"/>
          </rPr>
          <t>Yamir Adrian Gomez:</t>
        </r>
        <r>
          <rPr>
            <sz val="8"/>
            <color indexed="81"/>
            <rFont val="Tahoma"/>
            <family val="2"/>
          </rPr>
          <t xml:space="preserve">
CONTADURIA PUBLICA, DIPLOMADO EN INFORMACION EXOGENA Y PROCEDIMIENTOS TRIBUTARIOS, BACHILLER ACADEMICO, OPERADOR DE COMPUTADORES, CURSO BASICO DE COMPUTADORES, CURSO DE SISTEMAS, ECONOMIA SOLIDARIA NIVEL BASICO, CURSO DE INFORMATICA BASICA,</t>
        </r>
      </text>
    </comment>
    <comment ref="S410" authorId="0" shapeId="0" xr:uid="{8F065C2B-0074-4C47-8F06-C53CC043A330}">
      <text>
        <r>
          <rPr>
            <b/>
            <sz val="8"/>
            <color indexed="81"/>
            <rFont val="Tahoma"/>
            <family val="2"/>
          </rPr>
          <t>Yamir Adrian Gomez:</t>
        </r>
        <r>
          <rPr>
            <sz val="8"/>
            <color indexed="81"/>
            <rFont val="Tahoma"/>
            <family val="2"/>
          </rPr>
          <t xml:space="preserve">
CERTIFICADO DE CONOCIMIENTO ACADEMICOS EN SISTEMAS, DISEÑO GRAFICO E INTERNET, TECNCIO LABORAL POR COMPETENCIAS EN SISTEMAS, CRUSO DE ADMINISTRACION DE NEGOCIOS INTERNACIONALES</t>
        </r>
      </text>
    </comment>
    <comment ref="S411" authorId="0" shapeId="0" xr:uid="{281DC221-3AE3-4EB3-AB1E-0C56B324FFE9}">
      <text>
        <r>
          <rPr>
            <b/>
            <sz val="8"/>
            <color indexed="81"/>
            <rFont val="Tahoma"/>
            <family val="2"/>
          </rPr>
          <t>Yamir Adrian Gomez:</t>
        </r>
        <r>
          <rPr>
            <sz val="8"/>
            <color indexed="81"/>
            <rFont val="Tahoma"/>
            <family val="2"/>
          </rPr>
          <t xml:space="preserve">
CAPACITACION DE OPERADORES DE PLANTAS HIDRAULICAS</t>
        </r>
      </text>
    </comment>
    <comment ref="C412" authorId="0" shapeId="0" xr:uid="{1036C805-01A9-481E-88C9-83B1FF92F652}">
      <text>
        <r>
          <rPr>
            <b/>
            <sz val="8"/>
            <color indexed="81"/>
            <rFont val="Tahoma"/>
            <family val="2"/>
          </rPr>
          <t>Yamir Adrian Gomez
German casanova</t>
        </r>
      </text>
    </comment>
    <comment ref="C413" authorId="0" shapeId="0" xr:uid="{3F2F7E65-448C-4F8D-A357-E0F8BCFC03DB}">
      <text>
        <r>
          <rPr>
            <b/>
            <sz val="9"/>
            <color indexed="81"/>
            <rFont val="Tahoma"/>
            <family val="2"/>
          </rPr>
          <t>Yamir Adrian Gomez:</t>
        </r>
        <r>
          <rPr>
            <sz val="9"/>
            <color indexed="81"/>
            <rFont val="Tahoma"/>
            <family val="2"/>
          </rPr>
          <t xml:space="preserve">
Cargo de giraldo rosero quien paso a rec inst</t>
        </r>
      </text>
    </comment>
    <comment ref="S413" authorId="0" shapeId="0" xr:uid="{8DCA5EBF-9BBF-4086-924E-4475076FDBB4}">
      <text>
        <r>
          <rPr>
            <b/>
            <sz val="9"/>
            <color indexed="81"/>
            <rFont val="Tahoma"/>
            <family val="2"/>
          </rPr>
          <t>Yamir Adrian Gomez:</t>
        </r>
        <r>
          <rPr>
            <sz val="9"/>
            <color indexed="81"/>
            <rFont val="Tahoma"/>
            <family val="2"/>
          </rPr>
          <t xml:space="preserve">
TECNICO ELECTRICISTA</t>
        </r>
      </text>
    </comment>
    <comment ref="C414" authorId="0" shapeId="0" xr:uid="{2B763908-62B0-4419-A930-B2D751182CE1}">
      <text>
        <r>
          <rPr>
            <b/>
            <sz val="9"/>
            <color indexed="81"/>
            <rFont val="Tahoma"/>
            <family val="2"/>
          </rPr>
          <t>Yamir Adrian Gomez:</t>
        </r>
        <r>
          <rPr>
            <sz val="9"/>
            <color indexed="81"/>
            <rFont val="Tahoma"/>
            <family val="2"/>
          </rPr>
          <t xml:space="preserve">
Encargo como oper subesta desde 04/09/25. Cargo de Jorge arciniegas quien renuncio a partir del 01/09/25.</t>
        </r>
      </text>
    </comment>
    <comment ref="S414" authorId="0" shapeId="0" xr:uid="{47356DF3-5301-4C06-9F58-52C65CAFE3D3}">
      <text>
        <r>
          <rPr>
            <b/>
            <sz val="8"/>
            <color indexed="81"/>
            <rFont val="Tahoma"/>
            <family val="2"/>
          </rPr>
          <t>Yamir Adrian Gomez:</t>
        </r>
        <r>
          <rPr>
            <sz val="8"/>
            <color indexed="81"/>
            <rFont val="Tahoma"/>
            <family val="2"/>
          </rPr>
          <t xml:space="preserve">
TECNICO ELECTRICISTA, BACHILLER  ACADEMICO, FORMACION EN MECANICA AUTOMOTRIZ, </t>
        </r>
      </text>
    </comment>
    <comment ref="S415" authorId="0" shapeId="0" xr:uid="{47434897-7CC9-4167-AA25-1828A54DE845}">
      <text>
        <r>
          <rPr>
            <b/>
            <sz val="8"/>
            <color indexed="81"/>
            <rFont val="Tahoma"/>
            <family val="2"/>
          </rPr>
          <t>Yamir Adrian Gomez:</t>
        </r>
        <r>
          <rPr>
            <sz val="8"/>
            <color indexed="81"/>
            <rFont val="Tahoma"/>
            <family val="2"/>
          </rPr>
          <t xml:space="preserve">
TECNICO ELECTRICISTA, BACHILLER,AUXILIAR DE SUBESTACION, BASICO EN SISTEMAS</t>
        </r>
      </text>
    </comment>
    <comment ref="C416" authorId="0" shapeId="0" xr:uid="{1E6E367A-96BF-4518-B519-755F3DC12B60}">
      <text>
        <r>
          <rPr>
            <b/>
            <sz val="9"/>
            <color indexed="81"/>
            <rFont val="Tahoma"/>
            <family val="2"/>
          </rPr>
          <t>Yamir Adrian Gomez:</t>
        </r>
        <r>
          <rPr>
            <sz val="9"/>
            <color indexed="81"/>
            <rFont val="Tahoma"/>
            <family val="2"/>
          </rPr>
          <t xml:space="preserve">
Cargo de Jairo remberto quien renuncnio a partri del 20/02/26.</t>
        </r>
      </text>
    </comment>
    <comment ref="S416" authorId="0" shapeId="0" xr:uid="{F505D97B-6A6B-4EF3-B882-50F392F3E35E}">
      <text>
        <r>
          <rPr>
            <b/>
            <sz val="8"/>
            <color indexed="81"/>
            <rFont val="Tahoma"/>
            <family val="2"/>
          </rPr>
          <t>Yamir Adrian Gomez:</t>
        </r>
        <r>
          <rPr>
            <sz val="8"/>
            <color indexed="81"/>
            <rFont val="Tahoma"/>
            <family val="2"/>
          </rPr>
          <t xml:space="preserve">
TECNICO ELECTRCISTA, BACHILLER, AUXILIAR SUBESTACION</t>
        </r>
      </text>
    </comment>
    <comment ref="C417" authorId="0" shapeId="0" xr:uid="{50430E8E-D195-4602-AA43-CF627A63A6C4}">
      <text>
        <r>
          <rPr>
            <b/>
            <sz val="9"/>
            <color indexed="81"/>
            <rFont val="Tahoma"/>
            <family val="2"/>
          </rPr>
          <t>Yamir Adrian Gomez:</t>
        </r>
        <r>
          <rPr>
            <sz val="9"/>
            <color indexed="81"/>
            <rFont val="Tahoma"/>
            <family val="2"/>
          </rPr>
          <t xml:space="preserve">
CARGO DE LUIS OLMEDO CRIOOLO QUIEN RENUNCIO A SU CARGO A PARTIR DEL 01/07/26.</t>
        </r>
      </text>
    </comment>
    <comment ref="S417" authorId="0" shapeId="0" xr:uid="{991F49D5-BCB0-4D22-925B-C810608A9B5F}">
      <text>
        <r>
          <rPr>
            <b/>
            <sz val="8"/>
            <color indexed="81"/>
            <rFont val="Tahoma"/>
            <family val="2"/>
          </rPr>
          <t>Yamir Adrian Gomez:</t>
        </r>
        <r>
          <rPr>
            <sz val="8"/>
            <color indexed="81"/>
            <rFont val="Tahoma"/>
            <family val="2"/>
          </rPr>
          <t xml:space="preserve">
TECNICO ELECTRICISAT, BACHILLER INDUSTRIAL MODALIDAD ELECTRICIDAD, ELECTRICIDAD BASICA, SEGURIDAD EN REDES, OPERACIÓN EN SUBESTACIONES, INFORMATICA BASICA, </t>
        </r>
      </text>
    </comment>
    <comment ref="F418" authorId="0" shapeId="0" xr:uid="{166B738A-5646-4E1C-A675-1684587097C8}">
      <text>
        <r>
          <rPr>
            <b/>
            <sz val="9"/>
            <color indexed="81"/>
            <rFont val="Tahoma"/>
            <family val="2"/>
          </rPr>
          <t>Yamir Adrian Gomez:</t>
        </r>
        <r>
          <rPr>
            <sz val="9"/>
            <color indexed="81"/>
            <rFont val="Tahoma"/>
            <family val="2"/>
          </rPr>
          <t xml:space="preserve">
COM FUN DESDE 04/08/26</t>
        </r>
      </text>
    </comment>
    <comment ref="S418" authorId="0" shapeId="0" xr:uid="{3317C9BE-74F2-47F9-B75A-50E10DE733A3}">
      <text>
        <r>
          <rPr>
            <b/>
            <sz val="8"/>
            <color indexed="81"/>
            <rFont val="Tahoma"/>
            <family val="2"/>
          </rPr>
          <t>Yamir Adrian Gomez:</t>
        </r>
        <r>
          <rPr>
            <sz val="8"/>
            <color indexed="81"/>
            <rFont val="Tahoma"/>
            <family val="2"/>
          </rPr>
          <t xml:space="preserve">
TECNICO ELECTRICISTA, BACHILLER ACADEMICO ALUMBRADO PUBLICO,OPERACIONN DE SUBESTACIONES ELECTRICAS DE MEDIA Y ALTA TENSIÓN, MODULO DE FORMACIÓN ELECTRICISTA INSTALACIONES Y MANTENIMIENTO, ALIMBRADO PUBLICO, OPERADOR DE CENTRALES HIDROELECTRICAS, INFORMATICA BASICA E INTERNET, CONOCIMIENTO BASICO EN SISTEMAS, OPERADOR MAQUINISTA</t>
        </r>
      </text>
    </comment>
    <comment ref="S419" authorId="0" shapeId="0" xr:uid="{B75608C5-72F3-4D3B-A6D3-BCBC8F1E622F}">
      <text>
        <r>
          <rPr>
            <b/>
            <sz val="8"/>
            <color indexed="81"/>
            <rFont val="Tahoma"/>
            <family val="2"/>
          </rPr>
          <t>Yamir Adrian Gomez:</t>
        </r>
        <r>
          <rPr>
            <sz val="8"/>
            <color indexed="81"/>
            <rFont val="Tahoma"/>
            <family val="2"/>
          </rPr>
          <t xml:space="preserve">
TECNICO ELECTRICISTA, TECNOLOGO EN ADMON FINANCIERA. PROFESIONAL DE ADMON DE EMPRESAS Y NEGOCIOS INTERNACIONALES, GETION BASICA DE COOPERTAIVISMO, AUXILIAR DE SUBESTACIONES, INFORMATICA BASICA EN INTERNET, DIPLOMADO EN GERENCIA DE MERCADEO, TRABAJO SEGURO EN ALTURAS, CURSO BASICO DE ATENCION AL CLIENTE.</t>
        </r>
      </text>
    </comment>
    <comment ref="S420" authorId="0" shapeId="0" xr:uid="{3690CE4C-2366-4353-871C-2843AA84225F}">
      <text>
        <r>
          <rPr>
            <b/>
            <sz val="8"/>
            <color indexed="81"/>
            <rFont val="Tahoma"/>
            <family val="2"/>
          </rPr>
          <t>Yamir Adrian Gomez:</t>
        </r>
        <r>
          <rPr>
            <sz val="8"/>
            <color indexed="81"/>
            <rFont val="Tahoma"/>
            <family val="2"/>
          </rPr>
          <t xml:space="preserve">
TECNICO ELECTRICTSA, BACHILLER ACADEMICO,ALUMBRADO PUBLICO, MODLULO DE FORMACIÒN ENE ELCTRCIDAD AUXILIRA DE SUBESTACIONES, CAPACITACION EN SEGURIDAD INSUDTRIAL Y SALUD OCUPACIONAL, SEMINARIO EN SUBESTACIONES, RETIE, TRABAJO SEGURO EN ALTURAS,  </t>
        </r>
      </text>
    </comment>
    <comment ref="S421" authorId="0" shapeId="0" xr:uid="{1DD63855-D672-4883-B1AC-B969202E15CE}">
      <text>
        <r>
          <rPr>
            <b/>
            <sz val="8"/>
            <color indexed="81"/>
            <rFont val="Tahoma"/>
            <family val="2"/>
          </rPr>
          <t>Yamir Adrian Gomez:</t>
        </r>
        <r>
          <rPr>
            <sz val="8"/>
            <color indexed="81"/>
            <rFont val="Tahoma"/>
            <family val="2"/>
          </rPr>
          <t xml:space="preserve">
INGENIERO MECANICO. DIPLOMADO EN PEQUEÑAS CENTRALES HIDROELECTRICAS, CURSO DIMENSIONAMIENTO PEQUEÑAS CENTRALES HIDROELECTRICAS, ESPECIALISTA EN ADMINISTRACION EN CALIDAD TOTAL Y PRODUCTIVIDAD, CRUSO ENTRENAMIENTO EN AUDITOR INERNO DE CALIDAD, SEMINARIO POLITICAS SECTORIAL PARA EL DESARROLLO DEL PROVEEDOR, CURSO INFORMATICA NIVEL I Y II, SEMINARIO TALLERNEUROLINGUISTICA, CAPACITACION EN REGLAMENTO RETIE, CURSO DE OPERACION Y MTO. DE SUBESTACION DE DISTRIBUCION.</t>
        </r>
      </text>
    </comment>
    <comment ref="S422" authorId="0" shapeId="0" xr:uid="{A0F8C8C8-CADA-4F76-817A-6FB2B2C21ACA}">
      <text>
        <r>
          <rPr>
            <b/>
            <sz val="8"/>
            <color indexed="81"/>
            <rFont val="Tahoma"/>
            <family val="2"/>
          </rPr>
          <t>Yamir Adrian Gomez:</t>
        </r>
        <r>
          <rPr>
            <sz val="8"/>
            <color indexed="81"/>
            <rFont val="Tahoma"/>
            <family val="2"/>
          </rPr>
          <t xml:space="preserve">
TECNICO EN INGENIERIA DE SISTEMAS, BACHILLER ACADEMICO</t>
        </r>
      </text>
    </comment>
    <comment ref="S423" authorId="0" shapeId="0" xr:uid="{CAF79B82-2B67-4C18-B4AF-8211DAC49A7D}">
      <text>
        <r>
          <rPr>
            <b/>
            <sz val="8"/>
            <color indexed="81"/>
            <rFont val="Tahoma"/>
            <family val="2"/>
          </rPr>
          <t>Yamir Adrian Gomez:</t>
        </r>
        <r>
          <rPr>
            <sz val="8"/>
            <color indexed="81"/>
            <rFont val="Tahoma"/>
            <family val="2"/>
          </rPr>
          <t xml:space="preserve">
BACHILLER COMERCIAL-INFORMATICA BASICA</t>
        </r>
      </text>
    </comment>
    <comment ref="S424" authorId="0" shapeId="0" xr:uid="{3DA1065C-FF49-4C44-8588-B4A1FB4EA92C}">
      <text>
        <r>
          <rPr>
            <b/>
            <sz val="8"/>
            <color indexed="81"/>
            <rFont val="Tahoma"/>
            <family val="2"/>
          </rPr>
          <t>Yamir Adrian Gomez:</t>
        </r>
        <r>
          <rPr>
            <sz val="8"/>
            <color indexed="81"/>
            <rFont val="Tahoma"/>
            <family val="2"/>
          </rPr>
          <t xml:space="preserve">
BACHILLER ACADEMICO- TECNOLOGO</t>
        </r>
      </text>
    </comment>
    <comment ref="S425" authorId="0" shapeId="0" xr:uid="{D7F01434-06E1-4D5C-A4D0-E1348B3A849D}">
      <text>
        <r>
          <rPr>
            <b/>
            <sz val="8"/>
            <color indexed="81"/>
            <rFont val="Tahoma"/>
            <family val="2"/>
          </rPr>
          <t>Yamir Adrian Gomez:</t>
        </r>
        <r>
          <rPr>
            <sz val="8"/>
            <color indexed="81"/>
            <rFont val="Tahoma"/>
            <family val="2"/>
          </rPr>
          <t xml:space="preserve">
INGENIERIA DE SISTEMAS-</t>
        </r>
      </text>
    </comment>
    <comment ref="S426" authorId="0" shapeId="0" xr:uid="{5EF0B289-803F-4DAF-B74A-27E0692689C2}">
      <text>
        <r>
          <rPr>
            <b/>
            <sz val="8"/>
            <color indexed="81"/>
            <rFont val="Tahoma"/>
            <family val="2"/>
          </rPr>
          <t>Yamir Adrian Gomez:</t>
        </r>
        <r>
          <rPr>
            <sz val="8"/>
            <color indexed="81"/>
            <rFont val="Tahoma"/>
            <family val="2"/>
          </rPr>
          <t xml:space="preserve">
TECNICO ELECTRISCTA, BACHILLER ACADEMICO. CURSO SUBESTACIONES SENA. CERTIFICADO DE APTITUD PROFESIONAL Y TARJETA "CONTE", AUXILIAR DE CONTABILIDAD GENERAL, ELECTRICIDAD BASICA, FORMACION BASICA EN MECANICA AUTOMOTRIZ, CURSO FORMACION ESPECIFICA UNIDADES DE SECRETARIADO, </t>
        </r>
      </text>
    </comment>
    <comment ref="C427" authorId="0" shapeId="0" xr:uid="{658C6568-6644-4377-82B5-637EA243E60A}">
      <text>
        <r>
          <rPr>
            <b/>
            <sz val="8"/>
            <color indexed="81"/>
            <rFont val="Tahoma"/>
            <family val="2"/>
          </rPr>
          <t>Yamir Adrian Gomez:
ENCARGO COMO COORDINADOR DE GRUPO A APRTIR DEL 02/08/21 HASTA EL 31/12/2021. EN REEMPLAZO DE HUGO AUMADA.</t>
        </r>
      </text>
    </comment>
    <comment ref="S427" authorId="0" shapeId="0" xr:uid="{4418F6EC-5665-4815-8979-B2BFE3B6C76A}">
      <text>
        <r>
          <rPr>
            <b/>
            <sz val="8"/>
            <color indexed="81"/>
            <rFont val="Tahoma"/>
            <family val="2"/>
          </rPr>
          <t>Yamir Adrian Gomez:</t>
        </r>
        <r>
          <rPr>
            <sz val="8"/>
            <color indexed="81"/>
            <rFont val="Tahoma"/>
            <family val="2"/>
          </rPr>
          <t xml:space="preserve">
BACHILLER ACADEMICO, MODULO BASICO EN ELCTRICIDAD, MODULO REPARACION Y MONTAJE DE CIRCUITOS DE ALUMBRADO, DISEÑO DE DISEÑO Y MONTAJE DE CIRCUITOS DE FUERZA Y AUXILIARES, MODULO DE FORMACION EN CONEXIÓN Y ENSAYO DE TRANSFORMADORES, FORMACION EN MATENIMIENTO DE MAQUINAS ELECTRICAS ROTATIVAS, MONTAJE Y MANTENIMIENTO MANDOS PARA MAQUINAS ELECTRICAS,  CAPACITACION TEORICO PRACTICA EN SEGURIDAD INDUSTRIAL Y SALUD OCUPACIONAL</t>
        </r>
      </text>
    </comment>
    <comment ref="S428" authorId="0" shapeId="0" xr:uid="{8254D178-AA6F-442B-A9F9-B3BF113ADEF3}">
      <text>
        <r>
          <rPr>
            <b/>
            <sz val="8"/>
            <color indexed="81"/>
            <rFont val="Tahoma"/>
            <family val="2"/>
          </rPr>
          <t>Yamir Adrian Gomez:</t>
        </r>
        <r>
          <rPr>
            <sz val="8"/>
            <color indexed="81"/>
            <rFont val="Tahoma"/>
            <family val="2"/>
          </rPr>
          <t xml:space="preserve">
TECNICO EN ELECTRICIDAD, ACUALIZACION EN REDES MEDIA BAJA TENSION Y SEGURIDAD ELECTRICA, AUXILIAR EN ELECTRICIDAD, BACHILLER ACADEMICO, </t>
        </r>
      </text>
    </comment>
    <comment ref="C429" authorId="1" shapeId="0" xr:uid="{C008A2DC-05B2-4C94-95AA-28C32AC6351E}">
      <text>
        <r>
          <rPr>
            <b/>
            <sz val="9"/>
            <color indexed="81"/>
            <rFont val="Tahoma"/>
            <family val="2"/>
          </rPr>
          <t>YAMIR GOMEZ:</t>
        </r>
        <r>
          <rPr>
            <sz val="9"/>
            <color indexed="81"/>
            <rFont val="Tahoma"/>
            <family val="2"/>
          </rPr>
          <t xml:space="preserve">
gomez toro jose ramon, quien renuncio hasta el 30/04/21 por jubilacion por vejez.</t>
        </r>
      </text>
    </comment>
    <comment ref="S430" authorId="0" shapeId="0" xr:uid="{03EB3814-2684-45B0-9D53-3CD88961A4B4}">
      <text>
        <r>
          <rPr>
            <b/>
            <sz val="8"/>
            <color indexed="81"/>
            <rFont val="Tahoma"/>
            <family val="2"/>
          </rPr>
          <t>Yamir Adrian Gomez:</t>
        </r>
        <r>
          <rPr>
            <sz val="8"/>
            <color indexed="81"/>
            <rFont val="Tahoma"/>
            <family val="2"/>
          </rPr>
          <t xml:space="preserve">
TECNICO INSTALACIONES ELECTRICAS.TECNICO REDES ELECTRICAS.</t>
        </r>
      </text>
    </comment>
    <comment ref="C432" authorId="1" shapeId="0" xr:uid="{07AE7B81-9D29-43F0-BAC0-B6C7760DDC43}">
      <text>
        <r>
          <rPr>
            <b/>
            <sz val="9"/>
            <color indexed="81"/>
            <rFont val="Tahoma"/>
            <family val="2"/>
          </rPr>
          <t>YAMIR GOMEZ:</t>
        </r>
        <r>
          <rPr>
            <sz val="9"/>
            <color indexed="81"/>
            <rFont val="Tahoma"/>
            <family val="2"/>
          </rPr>
          <t xml:space="preserve">
CARGO DE CULTID SEGUNDO QUIEN PASO A LINIERO I A PARTIR DEL 02/08/21.</t>
        </r>
      </text>
    </comment>
    <comment ref="S432" authorId="0" shapeId="0" xr:uid="{9564702A-F007-49A4-9ADA-565CD73A0816}">
      <text>
        <r>
          <rPr>
            <b/>
            <sz val="8"/>
            <color indexed="81"/>
            <rFont val="Tahoma"/>
            <family val="2"/>
          </rPr>
          <t>Yamir Adrian Gomez:</t>
        </r>
        <r>
          <rPr>
            <sz val="8"/>
            <color indexed="81"/>
            <rFont val="Tahoma"/>
            <family val="2"/>
          </rPr>
          <t xml:space="preserve">
TECNICO ELECTRICISTA,BACHILLER ACADEMICO, </t>
        </r>
      </text>
    </comment>
    <comment ref="S434" authorId="0" shapeId="0" xr:uid="{DE78D768-EF98-4B8F-AE12-F6C679EC7F6C}">
      <text>
        <r>
          <rPr>
            <b/>
            <sz val="8"/>
            <color indexed="81"/>
            <rFont val="Tahoma"/>
            <family val="2"/>
          </rPr>
          <t>Yamir Adrian Gomez:</t>
        </r>
        <r>
          <rPr>
            <sz val="8"/>
            <color indexed="81"/>
            <rFont val="Tahoma"/>
            <family val="2"/>
          </rPr>
          <t xml:space="preserve">
TECNICO ELECTRICISTA, BACHILLER AGRICOLA, INTRODUCCION A LA VIGILANCIA, APTITUD PROFESIONAL EN OFICIAL DE LA CONSTRUCCION, NIVEL BASICO DE INFORMATICA, CURSO INTERMEDIO TRABAJO SEGURO EN ALTURAS, SEMINARIO ACTUALIZACION EN REDES DE MEDIA Y ALTA TENSION, Y SEGURIDAD ELCTRICA, </t>
        </r>
      </text>
    </comment>
    <comment ref="S435" authorId="0" shapeId="0" xr:uid="{59C3689E-6729-4A46-9D3E-59F75A4EDFA4}">
      <text>
        <r>
          <rPr>
            <b/>
            <sz val="8"/>
            <color indexed="81"/>
            <rFont val="Tahoma"/>
            <family val="2"/>
          </rPr>
          <t>Yamir Adrian Gomez:</t>
        </r>
        <r>
          <rPr>
            <sz val="8"/>
            <color indexed="81"/>
            <rFont val="Tahoma"/>
            <family val="2"/>
          </rPr>
          <t xml:space="preserve">
BACHILLER CADEMICO, CAPACITACION TEORICO PRACTICA EN SEGURIDAD INDUSTRIAL SALUD OCUPCIONAL.</t>
        </r>
      </text>
    </comment>
    <comment ref="S438" authorId="0" shapeId="0" xr:uid="{C8294EDD-4E2D-43C5-B8F6-648F98E13DD5}">
      <text>
        <r>
          <rPr>
            <b/>
            <sz val="8"/>
            <color indexed="81"/>
            <rFont val="Tahoma"/>
            <family val="2"/>
          </rPr>
          <t>Yamir Adrian Gomez:</t>
        </r>
        <r>
          <rPr>
            <sz val="8"/>
            <color indexed="81"/>
            <rFont val="Tahoma"/>
            <family val="2"/>
          </rPr>
          <t xml:space="preserve">
MATRICULA PROFESIONAL ELECTRICISTA, BACHILLER COMERCIAL</t>
        </r>
      </text>
    </comment>
    <comment ref="S439" authorId="0" shapeId="0" xr:uid="{A380FE58-D520-47EC-829F-01C5DD77A181}">
      <text>
        <r>
          <rPr>
            <b/>
            <sz val="8"/>
            <color indexed="81"/>
            <rFont val="Tahoma"/>
            <family val="2"/>
          </rPr>
          <t>Yamir Adrian Gomez:</t>
        </r>
        <r>
          <rPr>
            <sz val="8"/>
            <color indexed="81"/>
            <rFont val="Tahoma"/>
            <family val="2"/>
          </rPr>
          <t xml:space="preserve">
MATRICULA PROFESIONAL ELECTRICISTA-ENTRENAMIENTOS CURSO ALTURAS-TECNICO INSTLACIONES ELECTRICAS INTERNAS-BACHILLER COMERCIAL. CURSOS SENA  CONOCIMIENTOS DEL VEHUCULO.</t>
        </r>
      </text>
    </comment>
    <comment ref="D440" authorId="0" shapeId="0" xr:uid="{0A6C612C-347B-4E24-AE3E-E3EAB4BC4F46}">
      <text>
        <r>
          <rPr>
            <b/>
            <sz val="8"/>
            <color indexed="81"/>
            <rFont val="Tahoma"/>
            <family val="2"/>
          </rPr>
          <t>Yamir Adrian Gomez:</t>
        </r>
        <r>
          <rPr>
            <sz val="8"/>
            <color indexed="81"/>
            <rFont val="Tahoma"/>
            <family val="2"/>
          </rPr>
          <t xml:space="preserve">
ESTE VACANTE ES DE SANPABLO</t>
        </r>
      </text>
    </comment>
    <comment ref="S440" authorId="0" shapeId="0" xr:uid="{AC76F219-718F-4FC3-9B1B-8AC426B477DA}">
      <text>
        <r>
          <rPr>
            <b/>
            <sz val="8"/>
            <color indexed="81"/>
            <rFont val="Tahoma"/>
            <family val="2"/>
          </rPr>
          <t>Yamir Adrian Gomez:</t>
        </r>
        <r>
          <rPr>
            <sz val="8"/>
            <color indexed="81"/>
            <rFont val="Tahoma"/>
            <family val="2"/>
          </rPr>
          <t xml:space="preserve">
TECNICO EN ELECTRICIDAD, BACHILLER ACADEMICO, SEMINARIO ACTUALIZACION EN REDES DE MEDIA Y BAJA TENSION Y SEGURIDAD ELECTRICA,  TECNICO LABORAL EN ADMINISTRACION DE MICROEMPRESAS Y NEGOCIOS.F12</t>
        </r>
      </text>
    </comment>
    <comment ref="S441" authorId="0" shapeId="0" xr:uid="{7D8C4873-EB00-4877-9C08-5E5E507F74D0}">
      <text>
        <r>
          <rPr>
            <b/>
            <sz val="8"/>
            <color indexed="81"/>
            <rFont val="Tahoma"/>
            <family val="2"/>
          </rPr>
          <t>Yamir Adrian Gomez:</t>
        </r>
        <r>
          <rPr>
            <sz val="8"/>
            <color indexed="81"/>
            <rFont val="Tahoma"/>
            <family val="2"/>
          </rPr>
          <t xml:space="preserve">
BACHILLER TECNICO INDUSTRIAL ELECTRICISTA-MATRICULA PROF. ELECTRICISTA</t>
        </r>
      </text>
    </comment>
    <comment ref="C442" authorId="1" shapeId="0" xr:uid="{BD5019B1-A4AC-425C-A88D-9F21BF51FE8E}">
      <text>
        <r>
          <rPr>
            <b/>
            <sz val="9"/>
            <color indexed="81"/>
            <rFont val="Tahoma"/>
            <family val="2"/>
          </rPr>
          <t>YAMIR GOMEZ:</t>
        </r>
        <r>
          <rPr>
            <sz val="9"/>
            <color indexed="81"/>
            <rFont val="Tahoma"/>
            <family val="2"/>
          </rPr>
          <t xml:space="preserve">
cargo deortiz muñoz rigoberto quien se jubilo con colpensioes a partior del 01/08/21.</t>
        </r>
      </text>
    </comment>
    <comment ref="S442" authorId="0" shapeId="0" xr:uid="{BF6B4F12-663C-4729-8785-CE09836D1D9A}">
      <text>
        <r>
          <rPr>
            <b/>
            <sz val="8"/>
            <color indexed="81"/>
            <rFont val="Tahoma"/>
            <family val="2"/>
          </rPr>
          <t>Yamir Adrian Gomez:</t>
        </r>
        <r>
          <rPr>
            <sz val="8"/>
            <color indexed="81"/>
            <rFont val="Tahoma"/>
            <family val="2"/>
          </rPr>
          <t xml:space="preserve">
MATRICULA PROFESIONAL ELECTRICISTA.</t>
        </r>
      </text>
    </comment>
    <comment ref="C443" authorId="0" shapeId="0" xr:uid="{305B8B97-9587-43C5-9F2B-57E44EE29187}">
      <text>
        <r>
          <rPr>
            <b/>
            <sz val="8"/>
            <color indexed="81"/>
            <rFont val="Tahoma"/>
            <family val="2"/>
          </rPr>
          <t>Yamir Adrian Gomez:</t>
        </r>
        <r>
          <rPr>
            <sz val="8"/>
            <color indexed="81"/>
            <rFont val="Tahoma"/>
            <family val="2"/>
          </rPr>
          <t xml:space="preserve">
CARGO TRASLADADO A BERRUECOS DESDE LA CRUZ</t>
        </r>
      </text>
    </comment>
    <comment ref="D444" authorId="0" shapeId="0" xr:uid="{59E53384-D809-4F60-BF17-2A5F6A0D4418}">
      <text>
        <r>
          <rPr>
            <b/>
            <sz val="8"/>
            <color indexed="81"/>
            <rFont val="Tahoma"/>
            <family val="2"/>
          </rPr>
          <t>Yamir Adrian Gomez:</t>
        </r>
        <r>
          <rPr>
            <sz val="8"/>
            <color indexed="81"/>
            <rFont val="Tahoma"/>
            <family val="2"/>
          </rPr>
          <t xml:space="preserve">
encargo a partir de noviembre/2013</t>
        </r>
      </text>
    </comment>
    <comment ref="S444" authorId="0" shapeId="0" xr:uid="{057E5907-D517-407C-89F1-552B56855C1A}">
      <text>
        <r>
          <rPr>
            <b/>
            <sz val="8"/>
            <color indexed="81"/>
            <rFont val="Tahoma"/>
            <family val="2"/>
          </rPr>
          <t>Yamir Adrian Gomez:</t>
        </r>
        <r>
          <rPr>
            <sz val="8"/>
            <color indexed="81"/>
            <rFont val="Tahoma"/>
            <family val="2"/>
          </rPr>
          <t xml:space="preserve">
TECNICO ELECTRICISTA, TECNOLOGO EN ADMINISTRACION DE EMPRESAS, CURSO DE ELECTRICIDAD BASICA, MANTENIMIENTO DE TRANSFORMADORES, FORMACION EN INTERRUPTORES DE ALTA TENSION, AUXILIAR DE SUBESTACIONES, CAPACITACION EN SEGURIDAD INDUSTRIAL HIGIENE Y SALUD OCUPACIONAL, BACHILLER ACADEMICO,  CURSO SUBESTACIONES SENA,  </t>
        </r>
      </text>
    </comment>
    <comment ref="S446" authorId="0" shapeId="0" xr:uid="{21A827B8-90DA-43C4-8E34-9A6EE8EA56C6}">
      <text>
        <r>
          <rPr>
            <b/>
            <sz val="8"/>
            <color indexed="81"/>
            <rFont val="Tahoma"/>
            <family val="2"/>
          </rPr>
          <t>Yamir Adrian Gomez:</t>
        </r>
        <r>
          <rPr>
            <sz val="8"/>
            <color indexed="81"/>
            <rFont val="Tahoma"/>
            <family val="2"/>
          </rPr>
          <t xml:space="preserve">
INGENIERO MECANICO. DIPLOMADO EN PEQUEÑAS CENTRALES HIDROELECTRICAS, CURSO DIMENSIONAMIENTO PEQUEÑAS CENTRALES HIDROELECTRICAS, ESPECIALISTA EN ADMINISTRACION EN CALIDAD TOTAL Y PRODUCTIVIDAD, CRUSO ENTRENAMIENTO EN AUDITOR INERNO DE CALIDAD, SEMINARIO POLITICAS SECTORIAL PARA EL DESARROLLO DEL PROVEEDOR, CURSO INFORMATICA NIVEL I Y II, SEMINARIO TALLERNEUROLINGUISTICA, CAPACITACION EN REGLAMENTO RETIE, CURSO DE OPERACION Y MTO. DE SUBESTACION DE DISTRIBUCION.</t>
        </r>
      </text>
    </comment>
    <comment ref="S447" authorId="0" shapeId="0" xr:uid="{BAB87F33-0CDE-4971-875C-570E162CC89B}">
      <text>
        <r>
          <rPr>
            <b/>
            <sz val="8"/>
            <color indexed="81"/>
            <rFont val="Tahoma"/>
            <family val="2"/>
          </rPr>
          <t>Yamir Adrian Gomez:</t>
        </r>
        <r>
          <rPr>
            <sz val="8"/>
            <color indexed="81"/>
            <rFont val="Tahoma"/>
            <family val="2"/>
          </rPr>
          <t xml:space="preserve">
TECNICO ELECTRICISTA, BACHILLER INDISTRIAL, CURSO BASICO ELECTRICIDAD, MENCION HONORIFICA EJERCITO NACIONAL, CHARLA ECONOMIA DEL HOGAR, CURSO SENA TRABAJO SEGURO EN ALTURAS. </t>
        </r>
      </text>
    </comment>
    <comment ref="D448" authorId="0" shapeId="0" xr:uid="{9477569F-16F2-492C-A41D-A8703B17C188}">
      <text>
        <r>
          <rPr>
            <b/>
            <sz val="9"/>
            <color indexed="81"/>
            <rFont val="Tahoma"/>
            <family val="2"/>
          </rPr>
          <t>Yamir Adrian Gomez:</t>
        </r>
        <r>
          <rPr>
            <sz val="9"/>
            <color indexed="81"/>
            <rFont val="Tahoma"/>
            <family val="2"/>
          </rPr>
          <t xml:space="preserve">
Cargo de Ortiz silva alberto quien renuncio a partir del 01/07/2025. Encargo a partir del 01/08/26.</t>
        </r>
      </text>
    </comment>
    <comment ref="C449" authorId="0" shapeId="0" xr:uid="{9FD14A1F-1E80-45B3-B7FF-5B269F44519B}">
      <text>
        <r>
          <rPr>
            <b/>
            <sz val="9"/>
            <color indexed="81"/>
            <rFont val="Tahoma"/>
            <family val="2"/>
          </rPr>
          <t>Yamir Adrian Gomez:</t>
        </r>
        <r>
          <rPr>
            <sz val="9"/>
            <color indexed="81"/>
            <rFont val="Tahoma"/>
            <family val="2"/>
          </rPr>
          <t xml:space="preserve">
ENCARG DESDE 16/07/26. CARGO DE JAVIER MARTINEZ</t>
        </r>
      </text>
    </comment>
    <comment ref="S449" authorId="0" shapeId="0" xr:uid="{5CA54BFC-3896-4544-B8EE-6465048166E6}">
      <text>
        <r>
          <rPr>
            <b/>
            <sz val="8"/>
            <color indexed="81"/>
            <rFont val="Tahoma"/>
            <family val="2"/>
          </rPr>
          <t>Yamir Adrian Gomez:</t>
        </r>
        <r>
          <rPr>
            <sz val="8"/>
            <color indexed="81"/>
            <rFont val="Tahoma"/>
            <family val="2"/>
          </rPr>
          <t xml:space="preserve">
BACHILLER ACADEMICO, TECNICO EN SISTEMAS. MANTENIMIENTO DE SUBESTACIONES, CURSO ELECTRICIDAD BASICA,  CURSO SOLDADURA, BACHILLER ACADEMICO, CAPACITACION EN CONCEPTOS BASICOS PARA UN DIAGNOSTICO AMBIENTAL EMPRESARIAL, TALLER CUALIFICACION TECNICA Y NORMATIVA DE LIDERES SINDICALES DEL SECTOR ELECTRICO, CURSO TRANSFERENCIA TECNOLOGIA RTUS, CURSO INFORMATICA NIVEL I Y II,</t>
        </r>
      </text>
    </comment>
    <comment ref="C450" authorId="0" shapeId="0" xr:uid="{19AA8774-BFE8-4BB5-9B11-4A657F7E4D18}">
      <text>
        <r>
          <rPr>
            <b/>
            <sz val="9"/>
            <color indexed="81"/>
            <rFont val="Tahoma"/>
            <family val="2"/>
          </rPr>
          <t>Yamir Adrian Gomez:</t>
        </r>
        <r>
          <rPr>
            <sz val="9"/>
            <color indexed="81"/>
            <rFont val="Tahoma"/>
            <family val="2"/>
          </rPr>
          <t xml:space="preserve">
ENC DESDE 16/07/26. CARGO DE CERON CERON JULIAN</t>
        </r>
      </text>
    </comment>
    <comment ref="S450" authorId="0" shapeId="0" xr:uid="{B3831F6C-48D5-4DEC-AE6E-B4A75A72C06C}">
      <text>
        <r>
          <rPr>
            <b/>
            <sz val="8"/>
            <color indexed="81"/>
            <rFont val="Tahoma"/>
            <family val="2"/>
          </rPr>
          <t>Yamir Adrian Gomez:</t>
        </r>
        <r>
          <rPr>
            <sz val="8"/>
            <color indexed="81"/>
            <rFont val="Tahoma"/>
            <family val="2"/>
          </rPr>
          <t xml:space="preserve">
BACHILLER. CURSOS ELECTRICIDAD BASICA. BASICO METALMECANICA. SOLDADURA SENA. MANEJO DE SUBESTACIONES. RIV.AUXILIAR DE SUBESTACIONES, CURSO DE SOLDADURA ELECTRICA, FORMACION DOBLADOR DE PERFILERIA EL LAMINA, BASICO EN ELECTRICIDAD, OPERARIO EN ELECTRICTS AINSTALADOR DE REDES INTERNAS, OPERDOR DE SUBESTACIONES CURSO BASICO DE ECONOMIA SOLIDARIA, SEMINARIO OPERCIONES DE CENTRALES HIDROELECTRICAS, CHARLA DE INDUCCION CAJA COOPETROL, CURSO DE ELCTRONICA NIVEL I Y II, CAPACITACION CONCEPTOS BASICOS PARA UN DIAGNOSTICO AMBIENTAL  EMPRESARIAL, CURSO INFORMATICA I Y II, SEMINARIO DOBLADOR DE PERFILERIA EN LAMINA, FORMACION EN FORJADO Y ENSAMBLE DE PERFILES SOLIDOS Y TUBULARES EN ACERO,  </t>
        </r>
      </text>
    </comment>
    <comment ref="S451" authorId="0" shapeId="0" xr:uid="{71D02A0A-79D0-4F38-9528-558D322BA7A1}">
      <text>
        <r>
          <rPr>
            <b/>
            <sz val="8"/>
            <color indexed="81"/>
            <rFont val="Tahoma"/>
            <family val="2"/>
          </rPr>
          <t>Yamir Adrian Gomez:</t>
        </r>
        <r>
          <rPr>
            <sz val="8"/>
            <color indexed="81"/>
            <rFont val="Tahoma"/>
            <family val="2"/>
          </rPr>
          <t xml:space="preserve">
BACHILLER ACADEMICO, CURSO BASICO EN VIGILANCIA Y SEGURIDAD PRIVADA NIVEL I, II,III, APTITUD PROFESIONAL SOLDADOR Y SOPLETE,  </t>
        </r>
      </text>
    </comment>
    <comment ref="C452" authorId="0" shapeId="0" xr:uid="{E6D40725-68E0-4567-BA3E-6A28F9B9B591}">
      <text>
        <r>
          <rPr>
            <b/>
            <sz val="9"/>
            <color indexed="81"/>
            <rFont val="Tahoma"/>
            <family val="2"/>
          </rPr>
          <t>Yamir Adrian Gomez:</t>
        </r>
        <r>
          <rPr>
            <sz val="9"/>
            <color indexed="81"/>
            <rFont val="Tahoma"/>
            <family val="2"/>
          </rPr>
          <t xml:space="preserve">
ENCARGO DESDE 16/07/26.CARGO DE DIEGO ARCOS QUIEN RENUNCIO A SU CARGO A PARTIR DEL 01/07/26.</t>
        </r>
      </text>
    </comment>
    <comment ref="S452" authorId="0" shapeId="0" xr:uid="{0CBEC7A0-528F-4B1F-9505-07AB7014F202}">
      <text>
        <r>
          <rPr>
            <b/>
            <sz val="8"/>
            <color indexed="81"/>
            <rFont val="Tahoma"/>
            <family val="2"/>
          </rPr>
          <t>Yamir Adrian Gomez:</t>
        </r>
        <r>
          <rPr>
            <sz val="8"/>
            <color indexed="81"/>
            <rFont val="Tahoma"/>
            <family val="2"/>
          </rPr>
          <t xml:space="preserve">
TECNOLOGO EN OBRAS CIVILES, BACHILLER COMERCIAL, SEIS SEMESTRES DE TECNOLOGIA EN CONSTRUCCION,CURSO DE ELECTRICIDAD BASICA, ESTRATEGIAS PARA MEJORAR LA CALIDAD DEL SERVCIO, CAPACITACION DE CONCEPTOS BASICOS PARA UN DIAGNOSTICO AMBIENTAL EMPRESARIAL, </t>
        </r>
      </text>
    </comment>
    <comment ref="C453" authorId="0" shapeId="0" xr:uid="{D1406E34-B1B4-4509-A772-587EB5D322F3}">
      <text>
        <r>
          <rPr>
            <b/>
            <sz val="9"/>
            <color indexed="81"/>
            <rFont val="Tahoma"/>
            <family val="2"/>
          </rPr>
          <t>Yamir Adrian Gomez:</t>
        </r>
        <r>
          <rPr>
            <sz val="9"/>
            <color indexed="81"/>
            <rFont val="Tahoma"/>
            <family val="2"/>
          </rPr>
          <t xml:space="preserve">
cargo de angel andres quien paso a oper maquindesde 01/08/26.</t>
        </r>
      </text>
    </comment>
    <comment ref="S454" authorId="0" shapeId="0" xr:uid="{B63E137F-92C9-4052-BDAB-934D2620E45A}">
      <text>
        <r>
          <rPr>
            <b/>
            <sz val="8"/>
            <color indexed="81"/>
            <rFont val="Tahoma"/>
            <family val="2"/>
          </rPr>
          <t>Yamir Adrian Gomez:</t>
        </r>
        <r>
          <rPr>
            <sz val="8"/>
            <color indexed="81"/>
            <rFont val="Tahoma"/>
            <family val="2"/>
          </rPr>
          <t xml:space="preserve">
BACHILLER ACADEMICO, MENCION DE HONOR TECNICAS DE OFICINA, CURSO DE COMPUTACION, CURSO DE INFORMATICA BASICA, CURSO DE COOPERATIVISMO BASICI, CURSO DE TECNICAS DE OFICINA,  INDUCCION DE LA CAJA DE COOPETROL, CHARLA DE ECONOMIA DEL HOGAR, SEMINARIO TECNICAS PARA BRINDAR UN EXCEPCIONAL SERVCIO AL CLIENTE, SEMINARIO LA CORTESIA Y ATENCION TELEFONICA, CAPACITACION CONCEPTOS BASICOS PARA UN DIAGNOSTICO AMBIENTAL EMPRESARIAL.</t>
        </r>
      </text>
    </comment>
    <comment ref="C455" authorId="0" shapeId="0" xr:uid="{5847650A-EC58-4263-A1C2-2720742D0F4F}">
      <text>
        <r>
          <rPr>
            <b/>
            <sz val="9"/>
            <color indexed="81"/>
            <rFont val="Tahoma"/>
            <family val="2"/>
          </rPr>
          <t>Yamir Adrian Gomez:</t>
        </r>
        <r>
          <rPr>
            <sz val="9"/>
            <color indexed="81"/>
            <rFont val="Tahoma"/>
            <family val="2"/>
          </rPr>
          <t xml:space="preserve">
ENCA DESDE 16/07/2026. CARGO DE SILVA AMPARO QUIEN PASO A TEC I </t>
        </r>
      </text>
    </comment>
    <comment ref="S455" authorId="0" shapeId="0" xr:uid="{BE93547F-A9BF-41AC-AAA5-3769616D307B}">
      <text>
        <r>
          <rPr>
            <b/>
            <sz val="8"/>
            <color indexed="81"/>
            <rFont val="Tahoma"/>
            <family val="2"/>
          </rPr>
          <t>Yamir Adrian Gomez:</t>
        </r>
        <r>
          <rPr>
            <sz val="8"/>
            <color indexed="81"/>
            <rFont val="Tahoma"/>
            <family val="2"/>
          </rPr>
          <t xml:space="preserve">
TECNICO EN SISTEMAS, CURSO BASICO DE SISTEMAS, FORMACION PROSFESIONAL DESARROLLO DE HABILIDADES GENERALES, CHARLA DE INDUCCION DE LA CAJA COOPETROL, CONCEPTOS BASICOS PARA UN DIAGNOSTICOS AMBIENTAL EMPRESARIAL, CURSO BASICO DE INGLES, REDES INETRNET, ACCION DE FORMACION BASICO MECANICA DE MOTOS, SEMINARIO ACOSO LABORAL, PLANILLA UNICA, TECNICAS PARA BRINDAR UN EXCEPCIONAL SERVICIO AL CLIENTE, LA CORTESIA Y ATENCION TELEFONICA, CURSO BASICO DE ECONOMIA SOLIDADRIA,SEMINARIO PROTOCOLO GLAMUR Y ETICA EMPRESARIAL, SEMINARIO TALLER NUEVAS COMPETENCIAS PARA SECRETARIAS EJECUTIVAS Y ASITENTES DE DIRECCION, CURSO DE INFORMATICA BASICA, MENCION HONORIFICA TECNICAS DE OFICNAS, CURSO DE TECNICAS DE OFICINA, CURSO BASICO DE COMPUTACION, CONOCIMIENTOS BASICOS DE COMPUTACION, CURSO DE COOPERATIVISMO BASICO, BACHILLER ACADEMICO, SEMINARIO III CONGRESO NACIONAL DE SECREATARIAS PROFESIONALES.   CURSA NOVENO SEMESTRE DE CONTADURIA PUBLICA EN LA UNIVERSIDAD DE PAMPLONA CON BECA.</t>
        </r>
      </text>
    </comment>
    <comment ref="S456" authorId="0" shapeId="0" xr:uid="{CFDBDBF1-7867-4726-8167-1359F256B712}">
      <text>
        <r>
          <rPr>
            <b/>
            <sz val="8"/>
            <color indexed="81"/>
            <rFont val="Tahoma"/>
            <family val="2"/>
          </rPr>
          <t>Yamir Adrian Gomez:</t>
        </r>
        <r>
          <rPr>
            <sz val="8"/>
            <color indexed="81"/>
            <rFont val="Tahoma"/>
            <family val="2"/>
          </rPr>
          <t xml:space="preserve">
FORMACION MANEJO DE HERRAMINETAS MICROSOFT OFICE, FORMACION EN INSTALACIONES ELECTRICAS DOMICILIARIAS, FORMACION EN ADMINISTARCION Y CONTROL DE INVENTARIOS,FORMACION DE TRABAJO EN EQUIPO NIVEL ADMINISTRATIVO, BACHILLER AGRICOLA, TECNICO PROFESIONAL EN RELACIONES </t>
        </r>
      </text>
    </comment>
    <comment ref="S457" authorId="0" shapeId="0" xr:uid="{D8F0FD84-4B87-4E29-90CF-9433CB493556}">
      <text>
        <r>
          <rPr>
            <b/>
            <sz val="8"/>
            <color indexed="81"/>
            <rFont val="Tahoma"/>
            <family val="2"/>
          </rPr>
          <t>Yamir Adrian Gomez:</t>
        </r>
        <r>
          <rPr>
            <sz val="8"/>
            <color indexed="81"/>
            <rFont val="Tahoma"/>
            <family val="2"/>
          </rPr>
          <t xml:space="preserve">
MAESTRA EN MUSICA Y TECNICO EN SISTEMAS- CURSO REDES E INTENT- TECNICO LABORAL POR COMPETENCIAS EN SISTEMAS</t>
        </r>
      </text>
    </comment>
    <comment ref="C458" authorId="0" shapeId="0" xr:uid="{E70CB129-730C-4F7F-BDE8-B6390E4BD2B2}">
      <text>
        <r>
          <rPr>
            <b/>
            <sz val="9"/>
            <color indexed="81"/>
            <rFont val="Tahoma"/>
            <family val="2"/>
          </rPr>
          <t>Yamir Adrian Gomez:</t>
        </r>
        <r>
          <rPr>
            <sz val="9"/>
            <color indexed="81"/>
            <rFont val="Tahoma"/>
            <family val="2"/>
          </rPr>
          <t xml:space="preserve">
Cargo de alirio ortega. Carlos alberto torres hasta 31/12/25.</t>
        </r>
      </text>
    </comment>
    <comment ref="C459" authorId="0" shapeId="0" xr:uid="{CED690BB-CC28-477F-A0C6-95193C1AC2F0}">
      <text>
        <r>
          <rPr>
            <b/>
            <sz val="9"/>
            <color indexed="81"/>
            <rFont val="Tahoma"/>
            <family val="2"/>
          </rPr>
          <t>Yamir Adrian Gomez:</t>
        </r>
        <r>
          <rPr>
            <sz val="9"/>
            <color indexed="81"/>
            <rFont val="Tahoma"/>
            <family val="2"/>
          </rPr>
          <t xml:space="preserve">
CARGO DE ALICIA IMACHI QUIEN PASO A TEC III</t>
        </r>
      </text>
    </comment>
    <comment ref="S459" authorId="0" shapeId="0" xr:uid="{7CFB9635-69DA-485E-8765-435686153A68}">
      <text>
        <r>
          <rPr>
            <b/>
            <sz val="8"/>
            <color indexed="81"/>
            <rFont val="Tahoma"/>
            <family val="2"/>
          </rPr>
          <t>Yamir Adrian Gomez:</t>
        </r>
        <r>
          <rPr>
            <sz val="8"/>
            <color indexed="81"/>
            <rFont val="Tahoma"/>
            <family val="2"/>
          </rPr>
          <t xml:space="preserve">
BACHILLER COMERCIAL, </t>
        </r>
      </text>
    </comment>
    <comment ref="S460" authorId="0" shapeId="0" xr:uid="{D65D3334-12BB-49AD-A9FD-3CE606AC90F4}">
      <text>
        <r>
          <rPr>
            <b/>
            <sz val="8"/>
            <color indexed="81"/>
            <rFont val="Tahoma"/>
            <family val="2"/>
          </rPr>
          <t>Yamir Adrian Gomez:</t>
        </r>
        <r>
          <rPr>
            <sz val="8"/>
            <color indexed="81"/>
            <rFont val="Tahoma"/>
            <family val="2"/>
          </rPr>
          <t xml:space="preserve">
TECNICO ELECTRICISTA, BACHILLER ACADEMICO, CURSO DE CONTABILIDAD, MENCION DE HONOR POR INDICE DE RECAUDOS SAN PABLO, CURSO INTERMEDIO TRABAJO SEGURO EN ALTURAS</t>
        </r>
      </text>
    </comment>
    <comment ref="S461" authorId="0" shapeId="0" xr:uid="{26A10D41-7654-4972-BE69-C9137713D0AB}">
      <text>
        <r>
          <rPr>
            <b/>
            <sz val="8"/>
            <color indexed="81"/>
            <rFont val="Tahoma"/>
            <family val="2"/>
          </rPr>
          <t>Yamir Adrian Gomez:</t>
        </r>
        <r>
          <rPr>
            <sz val="8"/>
            <color indexed="81"/>
            <rFont val="Tahoma"/>
            <family val="2"/>
          </rPr>
          <t xml:space="preserve">
TECNICO ELECTRICISTA, CUATRO AÑOS DE BACHILLERATO, CURSO INTERMEDIO TRABAJO SEGURO EN ALTURAS</t>
        </r>
      </text>
    </comment>
    <comment ref="C462" authorId="0" shapeId="0" xr:uid="{EA470D56-15DD-485B-A325-D0F476E7413C}">
      <text>
        <r>
          <rPr>
            <b/>
            <sz val="9"/>
            <color indexed="81"/>
            <rFont val="Tahoma"/>
            <family val="2"/>
          </rPr>
          <t>Yamir Adrian Gomez:</t>
        </r>
        <r>
          <rPr>
            <sz val="9"/>
            <color indexed="81"/>
            <rFont val="Tahoma"/>
            <family val="2"/>
          </rPr>
          <t xml:space="preserve">
CARGO DE RONAR GENARO</t>
        </r>
      </text>
    </comment>
    <comment ref="S463" authorId="0" shapeId="0" xr:uid="{A710B0F9-60E9-4757-8341-71B4DB4BAFD9}">
      <text>
        <r>
          <rPr>
            <b/>
            <sz val="8"/>
            <color indexed="81"/>
            <rFont val="Tahoma"/>
            <family val="2"/>
          </rPr>
          <t>Yamir Adrian Gomez:</t>
        </r>
        <r>
          <rPr>
            <sz val="8"/>
            <color indexed="81"/>
            <rFont val="Tahoma"/>
            <family val="2"/>
          </rPr>
          <t xml:space="preserve">
 TECNICO ELECTRICISTA, CURSOS ELECTRICIDAD BASICA, TECNICO EN CONSTRUCCION Y MONTAJE EN INSTALACIONES ELECTRICAS, FORMACION BASICA EN ELECTRICIDAD, FORMACION INTERMEDIO TRABAJO SEGURO EN ALTURAS, CURSO INTERMEDIO TRABAJO SEGURO EN ALTURAS.</t>
        </r>
      </text>
    </comment>
    <comment ref="S464" authorId="0" shapeId="0" xr:uid="{242041CB-FE29-438C-8DF3-1CB0519964AA}">
      <text>
        <r>
          <rPr>
            <b/>
            <sz val="8"/>
            <color indexed="81"/>
            <rFont val="Tahoma"/>
            <family val="2"/>
          </rPr>
          <t>Yamir Adrian Gomez:</t>
        </r>
        <r>
          <rPr>
            <sz val="8"/>
            <color indexed="81"/>
            <rFont val="Tahoma"/>
            <family val="2"/>
          </rPr>
          <t xml:space="preserve">
TECNICO ELECTRICISTA, BACHILLER ACADEMICO, CURSOS ELECTRICIDAD BASICA, MODULOS DE FORMACION SENA EGISLACION Y NORMAS DE TRANSITO, CONTROL DE INCENDIOS, TECNICAS DE CONDUCCION, PRIMEROS AUXILIOS EN SALUD, MECANICA BASICA, ETICA, CURSO AUXILIAR SUBESTACIONES, FORMACION ETICA Y DESARROLLO HUMANO, INSTRUCTOR DE CONDUCCION DE BUS, SEMINARIO TALLER NIVEL BASICO EN ECONOMIA SOLIDARIA, CHARLA DE ECONOMIA DEL HOGAR,  CHARLA DE INDUCCION COOPETROL,  CAPACITACION TEORICOPRACTICA EN SALUD OCUPACIONAL Y SEGURIDAD INSDUSTRIAL,  FORMACION BASICA EN ELECTRICIDAD, FORMACION INTERMEDIO TRABAJO SEGURO EN ALTURAS.</t>
        </r>
      </text>
    </comment>
    <comment ref="C465" authorId="0" shapeId="0" xr:uid="{D454FD13-AF6F-4A3F-9961-53D983D5D547}">
      <text>
        <r>
          <rPr>
            <b/>
            <sz val="9"/>
            <color indexed="81"/>
            <rFont val="Tahoma"/>
            <family val="2"/>
          </rPr>
          <t>Yamir Adrian Gomez:</t>
        </r>
        <r>
          <rPr>
            <sz val="9"/>
            <color indexed="81"/>
            <rFont val="Tahoma"/>
            <family val="2"/>
          </rPr>
          <t xml:space="preserve">
cargo de segundo nabor</t>
        </r>
      </text>
    </comment>
    <comment ref="S465" authorId="0" shapeId="0" xr:uid="{FB8E5251-E1B0-40DB-86EE-5D9E4D32E55E}">
      <text>
        <r>
          <rPr>
            <b/>
            <sz val="8"/>
            <color indexed="81"/>
            <rFont val="Tahoma"/>
            <family val="2"/>
          </rPr>
          <t>Yamir Adrian Gomez:</t>
        </r>
        <r>
          <rPr>
            <sz val="8"/>
            <color indexed="81"/>
            <rFont val="Tahoma"/>
            <family val="2"/>
          </rPr>
          <t xml:space="preserve">
TECNCIO ELECTRICISTA, BACHILLER ACADEMICO, CURSO BASICO DE INTERMEDIO TRABAJO EN ALTURAS,  CAPACIATCION TEORICO PRACTICA EN SEGURIDAD INDUSTRIAL, </t>
        </r>
      </text>
    </comment>
    <comment ref="S466" authorId="0" shapeId="0" xr:uid="{659D5902-2078-49CB-8FE7-1914E76B00C0}">
      <text>
        <r>
          <rPr>
            <b/>
            <sz val="8"/>
            <color indexed="81"/>
            <rFont val="Tahoma"/>
            <family val="2"/>
          </rPr>
          <t>Yamir Adrian Gomez:</t>
        </r>
        <r>
          <rPr>
            <sz val="8"/>
            <color indexed="81"/>
            <rFont val="Tahoma"/>
            <family val="2"/>
          </rPr>
          <t xml:space="preserve">
TECNICO ELECTRICISTA, CURSO DE INSTALACIONWES ELECTRICAS RESIDENCIALES, AUXILIAR DE INSTALACIONES ELCETRICAS, CURSO DE ELECRICIDAD BASICA,CURSO DE INFORMATICA NIVELES I Y II, BACHILLER ACADEMICO, CURSO DE PRIMEROS AUXILIOS, DOS SEMESTRES DE EDUCACION FISICA,  </t>
        </r>
      </text>
    </comment>
    <comment ref="C467" authorId="0" shapeId="0" xr:uid="{0513F048-989B-4240-81B3-05B2735830BF}">
      <text>
        <r>
          <rPr>
            <b/>
            <sz val="9"/>
            <color indexed="81"/>
            <rFont val="Tahoma"/>
            <family val="2"/>
          </rPr>
          <t>Yamir Adrian Gomez:</t>
        </r>
        <r>
          <rPr>
            <sz val="9"/>
            <color indexed="81"/>
            <rFont val="Tahoma"/>
            <family val="2"/>
          </rPr>
          <t xml:space="preserve">
ENC DESDE 16/07/26 CON IGUAL SALARIO.CARGO DE ELIECER CHAVES QUIEN RENUNCIO DESDE 01/08/26</t>
        </r>
      </text>
    </comment>
    <comment ref="S467" authorId="0" shapeId="0" xr:uid="{F076CB83-D9E0-4438-8454-FC847D2C975A}">
      <text>
        <r>
          <rPr>
            <b/>
            <sz val="8"/>
            <color indexed="81"/>
            <rFont val="Tahoma"/>
            <family val="2"/>
          </rPr>
          <t>Yamir Adrian Gomez:</t>
        </r>
        <r>
          <rPr>
            <sz val="8"/>
            <color indexed="81"/>
            <rFont val="Tahoma"/>
            <family val="2"/>
          </rPr>
          <t xml:space="preserve">
AUXILIAR DE SUBESTACION, SEMINARIO DE OPERACIÓN DE CENTRALES ELECTRICAS,</t>
        </r>
      </text>
    </comment>
    <comment ref="C468" authorId="0" shapeId="0" xr:uid="{1F50D85D-A35D-48DB-88E6-116FDE82E5D6}">
      <text>
        <r>
          <rPr>
            <b/>
            <sz val="9"/>
            <color indexed="81"/>
            <rFont val="Tahoma"/>
            <family val="2"/>
          </rPr>
          <t>Yamir Adrian Gomez:</t>
        </r>
        <r>
          <rPr>
            <sz val="9"/>
            <color indexed="81"/>
            <rFont val="Tahoma"/>
            <family val="2"/>
          </rPr>
          <t xml:space="preserve">
ENC DESDE 16/07/26.CARGO DE DIEGO ORTEGA QUIEN RENUNCIO DESDE 01/07/26.</t>
        </r>
      </text>
    </comment>
    <comment ref="S468" authorId="0" shapeId="0" xr:uid="{1E08CB9B-62A1-48EF-8B89-B78B3EC0FED9}">
      <text>
        <r>
          <rPr>
            <b/>
            <sz val="8"/>
            <color indexed="81"/>
            <rFont val="Tahoma"/>
            <family val="2"/>
          </rPr>
          <t>Yamir Adrian Gomez:</t>
        </r>
        <r>
          <rPr>
            <sz val="8"/>
            <color indexed="81"/>
            <rFont val="Tahoma"/>
            <family val="2"/>
          </rPr>
          <t xml:space="preserve">
TECNICO ELECTRICISTA, BACHILLER ACADEMICO, SEMINARIO OPERACIÓN PLANTAS HIDRAULICAS, CHARLA INDUCCION COOPETROL, SEMINACIO OPERACIÓN SUBESTACIONES, CURSO AUXILIAR SUBESTACIONES. </t>
        </r>
      </text>
    </comment>
    <comment ref="S469" authorId="0" shapeId="0" xr:uid="{56145BD9-90FC-4A2E-B5D5-3D37F370BF12}">
      <text>
        <r>
          <rPr>
            <b/>
            <sz val="8"/>
            <color indexed="81"/>
            <rFont val="Tahoma"/>
            <family val="2"/>
          </rPr>
          <t>Yamir Adrian Gomez:</t>
        </r>
        <r>
          <rPr>
            <sz val="8"/>
            <color indexed="81"/>
            <rFont val="Tahoma"/>
            <family val="2"/>
          </rPr>
          <t xml:space="preserve">
TECNICO ELECTRICISTA, CURSO DE MECANICO GENERAL DE MANTENIMIENTO SENA, BLOQUE MODULAR SOLDADURA Y LAMINA PARA MANTENIMIENTO, CURSO BASICO METALMECANICO, CURSO BASICO DE MECANICA INDUSTRIAL, BLOQUE MODULAR DE MANTENIMIENTO MECANICO, BACHILLER ACADEMICO, MODULO DE FORMACION EN MECANICA DISEL, APTITUD PROFESIONAL MECANICO GENERAL DE MANTENIMIENTO, </t>
        </r>
      </text>
    </comment>
    <comment ref="S470" authorId="0" shapeId="0" xr:uid="{0711F231-BD5A-4C95-BFC1-85C15475BF83}">
      <text>
        <r>
          <rPr>
            <b/>
            <sz val="8"/>
            <color indexed="81"/>
            <rFont val="Tahoma"/>
            <family val="2"/>
          </rPr>
          <t>Yamir Adrian Gomez:</t>
        </r>
        <r>
          <rPr>
            <sz val="8"/>
            <color indexed="81"/>
            <rFont val="Tahoma"/>
            <family val="2"/>
          </rPr>
          <t xml:space="preserve">
BACHILLER AGRICOLA. CURSOS ELECTRICIDAD BASICA. CURSOS DE SOLDADURA, RTU Y MECANICA INDUSTRIAL, CURSO INFORMATICA NIVELES I Y II, CAPACITACION SOBRE CONCEPTO BASICOS PARA UN DIAGNOSTICO AMBIENTAL EMPRESARIAL, SEMINARIO OPERACIÓN DE CENTRALES HIDROELECTRICAS.</t>
        </r>
      </text>
    </comment>
    <comment ref="S471" authorId="0" shapeId="0" xr:uid="{C51DE0EE-28FB-4752-B1A7-DE634ADF0CA2}">
      <text>
        <r>
          <rPr>
            <b/>
            <sz val="8"/>
            <color indexed="81"/>
            <rFont val="Tahoma"/>
            <family val="2"/>
          </rPr>
          <t>Yamir Adrian Gomez:</t>
        </r>
        <r>
          <rPr>
            <sz val="8"/>
            <color indexed="81"/>
            <rFont val="Tahoma"/>
            <family val="2"/>
          </rPr>
          <t xml:space="preserve">
TECNICO ELECTRICISTA, BACHILLER ACADEMICO, CURSOS ELECTRICIDAD BASICA, CURSO DE ELCTRICIDAD BASICA, AUXILIAR SUBESTACIONES, CURSO INFORMATICA NIVELES I Y II, CAPACITACION SOBRE CONCEPTOS BASICOS PARA UN DIANOSTICO AMBIENTAL Y EMPRESARIAL, CHARLA ECONOMIA DEL HOGAR, SEMINARIO </t>
        </r>
      </text>
    </comment>
    <comment ref="S472" authorId="0" shapeId="0" xr:uid="{FBE447EB-7F20-4DA2-9C32-E7E1D860CFA5}">
      <text>
        <r>
          <rPr>
            <b/>
            <sz val="8"/>
            <color indexed="81"/>
            <rFont val="Tahoma"/>
            <family val="2"/>
          </rPr>
          <t>Yamir Adrian Gomez:</t>
        </r>
        <r>
          <rPr>
            <sz val="8"/>
            <color indexed="81"/>
            <rFont val="Tahoma"/>
            <family val="2"/>
          </rPr>
          <t xml:space="preserve">
TECNICO ELECTRICISTA. AUXILIAR DE SUBESTACION SENA. CURSO DE ELECTRONICA COMFAMILIAR, BACHILLER TECNICO INDUSTRIAL, CURSO ELECTRONICA NIVEL I Y II, FORMACION EN SGC, FORMACION EN COOPERATIVISMO, SEMINARIO OPERACIÓN PLANTAS HIDRAULICAS, CURSO OPERACIÓN SUBESTACIONES ELECTRICAS MEDIA Y A.T., SEMINARIO OPERACION CENTRALES HIDROELECTRICAS.</t>
        </r>
      </text>
    </comment>
    <comment ref="C473" authorId="0" shapeId="0" xr:uid="{0E383B63-3904-42A9-B0AF-96D712AE70A1}">
      <text>
        <r>
          <rPr>
            <b/>
            <sz val="9"/>
            <color indexed="81"/>
            <rFont val="Tahoma"/>
            <family val="2"/>
          </rPr>
          <t>Yamir Adrian Gomez:</t>
        </r>
        <r>
          <rPr>
            <sz val="9"/>
            <color indexed="81"/>
            <rFont val="Tahoma"/>
            <family val="2"/>
          </rPr>
          <t xml:space="preserve">
ENC DESDE 01/08/26.CARGO DE JAIME OVIEDO QUIEN RENUNCIO DESDE 01/08/26</t>
        </r>
      </text>
    </comment>
    <comment ref="S473" authorId="0" shapeId="0" xr:uid="{6B61E583-E154-4B06-954B-90E01746FDD7}">
      <text>
        <r>
          <rPr>
            <b/>
            <sz val="8"/>
            <color indexed="81"/>
            <rFont val="Tahoma"/>
            <family val="2"/>
          </rPr>
          <t>Yamir Adrian Gomez:</t>
        </r>
        <r>
          <rPr>
            <sz val="8"/>
            <color indexed="81"/>
            <rFont val="Tahoma"/>
            <family val="2"/>
          </rPr>
          <t xml:space="preserve">
TECNICO ELECTRICISTA, BACHILLER PEDAGOGICO, CURSOS ELECTRICIDAD BASICA, CURSO DE AUXILIAR DE SUBESTACIONES, MODULO DE FORMACION EN CONSTRUCCION AUTOGESTIONADA, CURSO DE INFORMATICA I Y II, CURSO DE SOLDADURA ELCTRICA, HARLA DE INDUCCION COOPETROL, CURSO DE COOPERATIVISMO BASICO, SEMINARIO OPERACION DE PLANTAS HIDRAULICAS, SEMINARIO OPERACION DE CENTARLES HIDROELECTRICAS,  </t>
        </r>
      </text>
    </comment>
    <comment ref="D474" authorId="0" shapeId="0" xr:uid="{826C90C3-754F-448A-8552-42E748EE8AB9}">
      <text>
        <r>
          <rPr>
            <b/>
            <sz val="9"/>
            <color indexed="81"/>
            <rFont val="Tahoma"/>
            <family val="2"/>
          </rPr>
          <t>Yamir Adrian Gomez:</t>
        </r>
        <r>
          <rPr>
            <sz val="9"/>
            <color indexed="81"/>
            <rFont val="Tahoma"/>
            <family val="2"/>
          </rPr>
          <t xml:space="preserve">
Cargo de demetrio urbano quien renuncio a partir del 01/07/25. Encargo a partir del 01/07/25.
</t>
        </r>
      </text>
    </comment>
    <comment ref="S475" authorId="0" shapeId="0" xr:uid="{F33CE311-387A-47D8-B8FA-6475F6DC1565}">
      <text>
        <r>
          <rPr>
            <b/>
            <sz val="8"/>
            <color indexed="81"/>
            <rFont val="Tahoma"/>
            <family val="2"/>
          </rPr>
          <t>Yamir Adrian Gomez:</t>
        </r>
        <r>
          <rPr>
            <sz val="8"/>
            <color indexed="81"/>
            <rFont val="Tahoma"/>
            <family val="2"/>
          </rPr>
          <t xml:space="preserve">
TECNICO ELECTRICSTA, TECNICO EN SISTEMAS, BACHILELR ACADEMICO, AUXILIAR DE SUBESTACIONES, CURSO DE INFORMATICA I Y II, FORMACION ESPECIFICA MECANICA  AUTOMOTRIZ, CURSO CONOCIMIENTOS BASICOS DE ELECTRICIDAD, CURSO DE ALUMBRADO PUBLICO,SEMINARIO OPERACIÓN DE PLANTAS HIDRAULICAS, SEMINARIO OPERACION DE SUBESTACIONES, </t>
        </r>
      </text>
    </comment>
    <comment ref="C476" authorId="0" shapeId="0" xr:uid="{B50B8040-ED7A-460C-9D0D-729045AF1B6A}">
      <text>
        <r>
          <rPr>
            <b/>
            <sz val="9"/>
            <color indexed="81"/>
            <rFont val="Tahoma"/>
            <family val="2"/>
          </rPr>
          <t>Yamir Adrian Gomez:</t>
        </r>
        <r>
          <rPr>
            <sz val="9"/>
            <color indexed="81"/>
            <rFont val="Tahoma"/>
            <family val="2"/>
          </rPr>
          <t xml:space="preserve">
ENC DESDE 01/08/26.CARGO DE ROSALINO IMBACHI</t>
        </r>
      </text>
    </comment>
    <comment ref="S476" authorId="0" shapeId="0" xr:uid="{13847040-C2FC-4A07-AF1D-084CA3C8E0B3}">
      <text>
        <r>
          <rPr>
            <b/>
            <sz val="8"/>
            <color indexed="81"/>
            <rFont val="Tahoma"/>
            <family val="2"/>
          </rPr>
          <t>Yamir Adrian Gomez:</t>
        </r>
        <r>
          <rPr>
            <sz val="8"/>
            <color indexed="81"/>
            <rFont val="Tahoma"/>
            <family val="2"/>
          </rPr>
          <t xml:space="preserve">
TECNOLOGO EN OBRAS CIVILES Y CONSTRUCCION, BACHILLER PEDAGOJICO, OPERACIÓN DE PLANTAS HIDRAULICAS, CURSO ELECTRONICA NIVEL I Y II, CURSO INFORMATICA NIVEL I Y II, AUXILIAR DE SUBESTACIONES, TALLER DISEÑO PROGRAMA SALUD OCUPACIONAL, CURSO ELECTRICIDAD BASICA.</t>
        </r>
      </text>
    </comment>
    <comment ref="S477" authorId="0" shapeId="0" xr:uid="{D01EC043-3133-4153-AD52-8297DDB0CE37}">
      <text>
        <r>
          <rPr>
            <b/>
            <sz val="8"/>
            <color indexed="81"/>
            <rFont val="Tahoma"/>
            <family val="2"/>
          </rPr>
          <t>Yamir Adrian Gomez:</t>
        </r>
        <r>
          <rPr>
            <sz val="8"/>
            <color indexed="81"/>
            <rFont val="Tahoma"/>
            <family val="2"/>
          </rPr>
          <t xml:space="preserve">
TECNICO ELECTRICISTA, BACHILLER PEDAGOJICO, CAPACITACION SEGURIDAD INDUSTRIAL HIGIENE Y SALUD OCUPACIONAL, CURSO DE ELECTRICIDAD BASICA, AUXILIAR DE SUBESTACIONES, SEMINARIO OPERACIÓN DE CENTRALES HIDROELECTRICAS, </t>
        </r>
      </text>
    </comment>
    <comment ref="S478" authorId="0" shapeId="0" xr:uid="{6355456D-7142-4172-9D86-FC1E1530F262}">
      <text>
        <r>
          <rPr>
            <b/>
            <sz val="8"/>
            <color indexed="81"/>
            <rFont val="Tahoma"/>
            <family val="2"/>
          </rPr>
          <t>Yamir Adrian Gomez:</t>
        </r>
        <r>
          <rPr>
            <sz val="8"/>
            <color indexed="81"/>
            <rFont val="Tahoma"/>
            <family val="2"/>
          </rPr>
          <t xml:space="preserve">
BACHILLER PEDAGOGICO, CURSO DE AVANZADA DE VIGILANCIA Y SEGURIDAD PRIVADA I,II,IIICURSO DE INFORMATICA BASICA E INETRNET, , </t>
        </r>
      </text>
    </comment>
    <comment ref="D479" authorId="0" shapeId="0" xr:uid="{08C754E4-DCAB-4C59-9EE9-8C287BDBDCF5}">
      <text>
        <r>
          <rPr>
            <b/>
            <sz val="9"/>
            <color indexed="81"/>
            <rFont val="Tahoma"/>
            <family val="2"/>
          </rPr>
          <t>Yamir Adrian Gomez:</t>
        </r>
        <r>
          <rPr>
            <sz val="9"/>
            <color indexed="81"/>
            <rFont val="Tahoma"/>
            <family val="2"/>
          </rPr>
          <t xml:space="preserve">
Cargo de segundo nabor quien paso a REPRESERO partri del 16/07/26</t>
        </r>
      </text>
    </comment>
    <comment ref="S479" authorId="0" shapeId="0" xr:uid="{07DA3960-CB4A-4D3E-A9D7-6725F9EF1FD7}">
      <text>
        <r>
          <rPr>
            <b/>
            <sz val="8"/>
            <color indexed="81"/>
            <rFont val="Tahoma"/>
            <family val="2"/>
          </rPr>
          <t>Yamir Adrian Gomez:</t>
        </r>
        <r>
          <rPr>
            <sz val="8"/>
            <color indexed="81"/>
            <rFont val="Tahoma"/>
            <family val="2"/>
          </rPr>
          <t xml:space="preserve">
TECNCIO ELECTRICISTA, BACHILLER ACADEMICO, CURSO BASICO DE INTERMEDIO TRABAJO EN ALTURAS,  CAPACIATCION TEORICO PRACTICA EN SEGURIDAD INDUSTRIAL, </t>
        </r>
      </text>
    </comment>
    <comment ref="S480" authorId="0" shapeId="0" xr:uid="{B4CEC994-8AE7-4163-98DD-C524F93A1A2A}">
      <text>
        <r>
          <rPr>
            <b/>
            <sz val="8"/>
            <color indexed="81"/>
            <rFont val="Tahoma"/>
            <family val="2"/>
          </rPr>
          <t>Yamir Adrian Gomez:</t>
        </r>
        <r>
          <rPr>
            <sz val="8"/>
            <color indexed="81"/>
            <rFont val="Tahoma"/>
            <family val="2"/>
          </rPr>
          <t xml:space="preserve">
MATRICULA PROFESIONAL ELECTRICISTA,INTRODUCCION Y MONTAJE INSTALACIONES ELECTRICAS, TRABAJO EN ALTURAS SENA, </t>
        </r>
      </text>
    </comment>
    <comment ref="S481" authorId="0" shapeId="0" xr:uid="{5B76C84C-5B4D-46B2-8400-4BCE69392C4E}">
      <text>
        <r>
          <rPr>
            <b/>
            <sz val="8"/>
            <color indexed="81"/>
            <rFont val="Tahoma"/>
            <family val="2"/>
          </rPr>
          <t>Yamir Adrian Gomez:</t>
        </r>
        <r>
          <rPr>
            <sz val="8"/>
            <color indexed="81"/>
            <rFont val="Tahoma"/>
            <family val="2"/>
          </rPr>
          <t xml:space="preserve">
MATRICULA PROFESIONAL ELECTRICISTA, TECNICO EN CONSTRUCCION Y MONTAJE DE INSTALACIONES ELECTRICAS, CURSO MANTENIMIENTO PREVENTIVO DE MOTORES PLANTAS Y TRANSFORMADORES, FORMACION DE ELECTRICIDAD BASICA, MATENIMIENTO Y DISEÑO DE REDES ELECTRICAS  EN BAJA Y ALTA TENSION, FORMACION EN INTERPRETACION DE PLANOS ELECTRICOS Y DISEÑO , BASICO EN ELECRICIDAD, SEMINARIO REGLAMENTO TECNICO DE INSTALACIONES ELECTRICAS RETIE, CURSO BASICO DE INTERMEDIO TRABAJO EN ALTURAS,  </t>
        </r>
      </text>
    </comment>
    <comment ref="S482" authorId="0" shapeId="0" xr:uid="{AD718B23-39F7-45CE-89FF-511DCEE72A00}">
      <text>
        <r>
          <rPr>
            <b/>
            <sz val="8"/>
            <color indexed="81"/>
            <rFont val="Tahoma"/>
            <family val="2"/>
          </rPr>
          <t>Yamir Adrian Gomez:</t>
        </r>
        <r>
          <rPr>
            <sz val="8"/>
            <color indexed="81"/>
            <rFont val="Tahoma"/>
            <family val="2"/>
          </rPr>
          <t xml:space="preserve">
MATRICULA PROFESIONAL,TECNICO EN CONSTRUCCION Y MONTAJE DE INSTALACIONES ELECTRICAS,  BACHILLER ACADEMICO, CURSO INTERMEDIO DE TRABAJO SEGURO EN ALTURAS, CURSO BASICO EN ELECTRICIDAD, CURSO DE VIGILANTE NIVEL  BASICO I, CURSO DE ELECTRICIDAD BASICA,  </t>
        </r>
      </text>
    </comment>
    <comment ref="C483" authorId="0" shapeId="0" xr:uid="{05399540-2582-4452-AB1A-A3A9B50AE72F}">
      <text>
        <r>
          <rPr>
            <b/>
            <sz val="9"/>
            <color indexed="81"/>
            <rFont val="Tahoma"/>
            <family val="2"/>
          </rPr>
          <t>Yamir Adrian Gomez:</t>
        </r>
        <r>
          <rPr>
            <sz val="9"/>
            <color indexed="81"/>
            <rFont val="Tahoma"/>
            <family val="2"/>
          </rPr>
          <t xml:space="preserve">
Cargo de diever lino quien paso a encargo como liniero I a partri del 01/07/25.</t>
        </r>
      </text>
    </comment>
    <comment ref="D483" authorId="0" shapeId="0" xr:uid="{3BE18C05-2412-4394-B780-331262D32079}">
      <text>
        <r>
          <rPr>
            <b/>
            <sz val="8"/>
            <color indexed="81"/>
            <rFont val="Tahoma"/>
            <family val="2"/>
          </rPr>
          <t>Yamir Adrian Gomez:</t>
        </r>
        <r>
          <rPr>
            <sz val="8"/>
            <color indexed="81"/>
            <rFont val="Tahoma"/>
            <family val="2"/>
          </rPr>
          <t xml:space="preserve">
CARGO DE PASTO redes - VACANTES</t>
        </r>
      </text>
    </comment>
    <comment ref="C484" authorId="0" shapeId="0" xr:uid="{D9207DBB-DD25-4FBD-82BF-590F1820BDE1}">
      <text>
        <r>
          <rPr>
            <b/>
            <sz val="9"/>
            <color indexed="81"/>
            <rFont val="Tahoma"/>
            <family val="2"/>
          </rPr>
          <t>Yamir Adrian Gomez:</t>
        </r>
        <r>
          <rPr>
            <sz val="9"/>
            <color indexed="81"/>
            <rFont val="Tahoma"/>
            <family val="2"/>
          </rPr>
          <t xml:space="preserve">
CARGO DE DARLEY BOLAÑOS QUIEN PASO A REPRESERO</t>
        </r>
      </text>
    </comment>
    <comment ref="S484" authorId="0" shapeId="0" xr:uid="{B2F4C640-63BA-41DD-8AB6-569BB45A456B}">
      <text>
        <r>
          <rPr>
            <b/>
            <sz val="8"/>
            <color indexed="81"/>
            <rFont val="Tahoma"/>
            <family val="2"/>
          </rPr>
          <t>Yamir Adrian Gomez:</t>
        </r>
        <r>
          <rPr>
            <sz val="8"/>
            <color indexed="81"/>
            <rFont val="Tahoma"/>
            <family val="2"/>
          </rPr>
          <t xml:space="preserve">
MATRICULA PROFESIONAL TECNICO ELECTRICISTA, BACHILLER ACADEMICO,CURSO SENA BASICO EN ELECTRICIDAD, INTERMEDIO TRABAJO SEGURO EN ALTURAS.</t>
        </r>
      </text>
    </comment>
    <comment ref="C485" authorId="0" shapeId="0" xr:uid="{DE2E897F-EDD2-4F85-91A5-1D3DB561FB58}">
      <text>
        <r>
          <rPr>
            <b/>
            <sz val="9"/>
            <color indexed="81"/>
            <rFont val="Tahoma"/>
            <family val="2"/>
          </rPr>
          <t>Yamir Adrian Gomez:</t>
        </r>
        <r>
          <rPr>
            <sz val="9"/>
            <color indexed="81"/>
            <rFont val="Tahoma"/>
            <family val="2"/>
          </rPr>
          <t xml:space="preserve">
Cargo de Jaime Payan quien renuncio a partir del 01/05/26</t>
        </r>
      </text>
    </comment>
    <comment ref="S485" authorId="0" shapeId="0" xr:uid="{1785AD00-AC2C-4E92-8FB1-497418142E0B}">
      <text>
        <r>
          <rPr>
            <b/>
            <sz val="8"/>
            <color indexed="81"/>
            <rFont val="Tahoma"/>
            <family val="2"/>
          </rPr>
          <t>Yamir Adrian Gomez:</t>
        </r>
        <r>
          <rPr>
            <sz val="8"/>
            <color indexed="81"/>
            <rFont val="Tahoma"/>
            <family val="2"/>
          </rPr>
          <t xml:space="preserve">
CURSO BASICO DE VIGILANCIA Y SEGURIDAD PRIVADA NIVEL I, </t>
        </r>
      </text>
    </comment>
    <comment ref="D486" authorId="1" shapeId="0" xr:uid="{6C487E56-2375-405E-BA11-F573A62DA3C8}">
      <text>
        <r>
          <rPr>
            <b/>
            <sz val="9"/>
            <color indexed="81"/>
            <rFont val="Tahoma"/>
            <family val="2"/>
          </rPr>
          <t>YAMIR GOMEZ:</t>
        </r>
        <r>
          <rPr>
            <sz val="9"/>
            <color indexed="81"/>
            <rFont val="Tahoma"/>
            <family val="2"/>
          </rPr>
          <t xml:space="preserve">
noguera salvador qoen se jubila por copensiones</t>
        </r>
      </text>
    </comment>
    <comment ref="S487" authorId="0" shapeId="0" xr:uid="{16F8C095-D38D-4AD7-B7A5-7564BD499042}">
      <text>
        <r>
          <rPr>
            <b/>
            <sz val="8"/>
            <color indexed="81"/>
            <rFont val="Tahoma"/>
            <family val="2"/>
          </rPr>
          <t>Yamir Adrian Gomez:</t>
        </r>
        <r>
          <rPr>
            <sz val="8"/>
            <color indexed="81"/>
            <rFont val="Tahoma"/>
            <family val="2"/>
          </rPr>
          <t xml:space="preserve">
CAPACITACION CONCEPTOS BASICOS PARA UN DIAGNOSTICO AMBIENTAL EMPRESARIAL, CHARLA DE ECONOMIA DEL HOGAR.</t>
        </r>
      </text>
    </comment>
    <comment ref="S488" authorId="0" shapeId="0" xr:uid="{585BD0E0-30A6-4857-A202-9ECEE41E9F67}">
      <text>
        <r>
          <rPr>
            <b/>
            <sz val="8"/>
            <color indexed="81"/>
            <rFont val="Tahoma"/>
            <family val="2"/>
          </rPr>
          <t>Yamir Adrian Gomez:</t>
        </r>
        <r>
          <rPr>
            <sz val="8"/>
            <color indexed="81"/>
            <rFont val="Tahoma"/>
            <family val="2"/>
          </rPr>
          <t xml:space="preserve">
ESPECIALISTA EN ALTA GERENCIA, LICENCIADO EN COMERCIO Y CONTADURIA. , CURSO DE FORMACION BASICA EN SISTEMAS BASICOS, INDUCCION AL PROCESO DE LA FORMACION, V SEMINARIO DE ACTUALIZACION PEDAGOGICA, SEMIANRIO TALLER PROCESO DE INVESTIGACION SOCIAL, SEMINARIO TALLER RETENCION EN LA FUENTE, CURSO PROGRAMACION NEUROLINGUISTICA Y COMUNICACION ASERTIVA,SEMINARIO TALLER NIVEK BASICO EN EWCONOMIA SOLIDARIA, SEMINARIO TALLER EQUIPOS DE PUESTA A TIERRA, SEMINARIO EN DESARROLLO DEL TALENTO HUMANO, METODO DE INGENIERIA DE CONFIABILIDAD PARA LA GESTION DE MANTENIMIENTO, CURSO METODOS DE INGENIERIA DE CONFORMIDAD PARA LA GESTION DE MTO..</t>
        </r>
      </text>
    </comment>
    <comment ref="S489" authorId="0" shapeId="0" xr:uid="{539643AB-050F-40C8-9953-70D5AD7FE50D}">
      <text>
        <r>
          <rPr>
            <b/>
            <sz val="8"/>
            <color indexed="81"/>
            <rFont val="Tahoma"/>
            <family val="2"/>
          </rPr>
          <t>Yamir Adrian Gomez:</t>
        </r>
        <r>
          <rPr>
            <sz val="8"/>
            <color indexed="81"/>
            <rFont val="Tahoma"/>
            <family val="2"/>
          </rPr>
          <t xml:space="preserve">
BACHILLER PEDAGOCIO, INFORMATICA BASICA E INTERNET, HOTELERIA TURISMO Y ALIMENTOS, CURSO BASICO EN COCINA Y HELADERIA, CURSO DE INFORMATICA BASICA E INTERNET,  EN </t>
        </r>
      </text>
    </comment>
    <comment ref="C490" authorId="0" shapeId="0" xr:uid="{14F951B7-12F7-487F-8EE2-4D5A669634CB}">
      <text>
        <r>
          <rPr>
            <b/>
            <sz val="9"/>
            <color indexed="81"/>
            <rFont val="Tahoma"/>
            <family val="2"/>
          </rPr>
          <t>Yamir Adrian Gomez:</t>
        </r>
        <r>
          <rPr>
            <sz val="9"/>
            <color indexed="81"/>
            <rFont val="Tahoma"/>
            <family val="2"/>
          </rPr>
          <t xml:space="preserve">
TRASLADO PASTO-LA CRUZ DESDE EL 22/08/25.</t>
        </r>
      </text>
    </comment>
    <comment ref="S490" authorId="0" shapeId="0" xr:uid="{278D41B3-5563-418B-A4D9-757F6C64CACF}">
      <text>
        <r>
          <rPr>
            <b/>
            <sz val="8"/>
            <color indexed="81"/>
            <rFont val="Tahoma"/>
            <family val="2"/>
          </rPr>
          <t>Yamir Adrian Gomez:</t>
        </r>
        <r>
          <rPr>
            <sz val="8"/>
            <color indexed="81"/>
            <rFont val="Tahoma"/>
            <family val="2"/>
          </rPr>
          <t xml:space="preserve">
 ADMINISTRACION DE EMPRESAS. DIPLOMADO EN HABILIDADES GERENCIALES.</t>
        </r>
      </text>
    </comment>
    <comment ref="C491" authorId="0" shapeId="0" xr:uid="{35D39EBE-B29F-4522-A3D6-62521C7AFCA6}">
      <text>
        <r>
          <rPr>
            <b/>
            <sz val="9"/>
            <color indexed="81"/>
            <rFont val="Tahoma"/>
            <family val="2"/>
          </rPr>
          <t>Yamir Adrian Gomez:</t>
        </r>
        <r>
          <rPr>
            <sz val="9"/>
            <color indexed="81"/>
            <rFont val="Tahoma"/>
            <family val="2"/>
          </rPr>
          <t xml:space="preserve">
CARGO DE ERMI PONCE QUIEN RENUNCIO A PARTIR DEL 01/08/26</t>
        </r>
      </text>
    </comment>
    <comment ref="S492" authorId="0" shapeId="0" xr:uid="{15DC3489-5AB7-4B2B-8114-934E2EE0AA99}">
      <text>
        <r>
          <rPr>
            <b/>
            <sz val="8"/>
            <color indexed="81"/>
            <rFont val="Tahoma"/>
            <family val="2"/>
          </rPr>
          <t>Yamir Adrian Gomez:</t>
        </r>
        <r>
          <rPr>
            <sz val="8"/>
            <color indexed="81"/>
            <rFont val="Tahoma"/>
            <family val="2"/>
          </rPr>
          <t xml:space="preserve">
CURSO MAQUINA PLANA FILETEADORA ESPECIALES, MODULO DE FORMACION EN SECRETARIADO, ASISTENTE INVESTIGACION DE MERCADOS, TETECNICO AUXILIAR DE ENFERMERIA, BACHILLER PEDAGOGICO, </t>
        </r>
      </text>
    </comment>
    <comment ref="S493" authorId="0" shapeId="0" xr:uid="{23F17D28-B10D-421C-AC27-BC1BD593E8C3}">
      <text>
        <r>
          <rPr>
            <b/>
            <sz val="8"/>
            <color indexed="81"/>
            <rFont val="Tahoma"/>
            <family val="2"/>
          </rPr>
          <t>Yamir Adrian Gomez:</t>
        </r>
        <r>
          <rPr>
            <sz val="8"/>
            <color indexed="81"/>
            <rFont val="Tahoma"/>
            <family val="2"/>
          </rPr>
          <t xml:space="preserve">
TECNICO ELECTRICISTA, BACHILLER ACADEMICO,CURSO AUXILIAR DE SUBESTACIONES, CAPACITACION TEORICO PRACTICA EN SEGURIDAD INDUSTRIAL Y SALUD OCUPACIONAL, SEMINARIO TALLER EQUIPOS DE PUESTA A TIERRA,   </t>
        </r>
      </text>
    </comment>
    <comment ref="C494" authorId="0" shapeId="0" xr:uid="{58982B08-F9A3-4179-A9EE-DC0F08C7A89E}">
      <text>
        <r>
          <rPr>
            <b/>
            <sz val="8"/>
            <color indexed="81"/>
            <rFont val="Tahoma"/>
            <family val="2"/>
          </rPr>
          <t>Yamir Adrian Gomez:</t>
        </r>
        <r>
          <rPr>
            <sz val="8"/>
            <color indexed="81"/>
            <rFont val="Tahoma"/>
            <family val="2"/>
          </rPr>
          <t xml:space="preserve">
CARGO DE DILMER FAVIO GIRALDO QUIEN RENUNCIO.</t>
        </r>
      </text>
    </comment>
    <comment ref="S494" authorId="0" shapeId="0" xr:uid="{842EFC9B-F828-4D72-A086-6D262836481B}">
      <text>
        <r>
          <rPr>
            <b/>
            <sz val="8"/>
            <color indexed="81"/>
            <rFont val="Tahoma"/>
            <family val="2"/>
          </rPr>
          <t>Yamir Adrian Gomez:</t>
        </r>
        <r>
          <rPr>
            <sz val="8"/>
            <color indexed="81"/>
            <rFont val="Tahoma"/>
            <family val="2"/>
          </rPr>
          <t xml:space="preserve">
TECNICO ELECTRICISTA,BACHILELR ACADEMICO / ACCION DE FORMACION EN  SALUD OCUPACIONAL SECTOR ELECTRICO</t>
        </r>
      </text>
    </comment>
    <comment ref="C495" authorId="0" shapeId="0" xr:uid="{4B40E993-515F-4195-90BB-A841C7364327}">
      <text>
        <r>
          <rPr>
            <b/>
            <sz val="8"/>
            <color indexed="81"/>
            <rFont val="Tahoma"/>
            <family val="2"/>
          </rPr>
          <t>Yamir Adrian Gomez:</t>
        </r>
        <r>
          <rPr>
            <sz val="8"/>
            <color indexed="81"/>
            <rFont val="Tahoma"/>
            <family val="2"/>
          </rPr>
          <t xml:space="preserve">
gomez muñoz ever ferney</t>
        </r>
      </text>
    </comment>
    <comment ref="S497" authorId="0" shapeId="0" xr:uid="{D181A6D5-00BE-4956-8856-A514A027DFBD}">
      <text>
        <r>
          <rPr>
            <b/>
            <sz val="8"/>
            <color indexed="81"/>
            <rFont val="Tahoma"/>
            <family val="2"/>
          </rPr>
          <t>Yamir Adrian Gomez:</t>
        </r>
        <r>
          <rPr>
            <sz val="8"/>
            <color indexed="81"/>
            <rFont val="Tahoma"/>
            <family val="2"/>
          </rPr>
          <t xml:space="preserve">
TECNICO ELECTRICISTA, BACHILLER ACADEMICO, CURSO OPERACIÓN Y MANTENIMIENTO DE SUBESTACIONES DE DISTRIBUCION, CAPACITACION TEORICO PRACTICA EN SEGURIDAD INDUSTRIAL Y SALUD OCUPACIONAL,  CURSO DE OPERACIÓN Y MANTENIMIENTO DE SUBESTACIONES DE DISTRIBUCION, CURSO DE OPERACION DE SUBESTACIONES ELECTRICAS DE MEDIA Y ALTA TENSION, </t>
        </r>
      </text>
    </comment>
    <comment ref="S498" authorId="0" shapeId="0" xr:uid="{B97B4025-953D-4F60-897D-5C822F6F92B5}">
      <text>
        <r>
          <rPr>
            <b/>
            <sz val="8"/>
            <color indexed="81"/>
            <rFont val="Tahoma"/>
            <family val="2"/>
          </rPr>
          <t>Yamir Adrian Gomez:</t>
        </r>
        <r>
          <rPr>
            <sz val="8"/>
            <color indexed="81"/>
            <rFont val="Tahoma"/>
            <family val="2"/>
          </rPr>
          <t xml:space="preserve">
TECNICO ELECTRICTSA, BACHILLER PEDAGOCICO, SEMINARIO TALLER EQUIPOS DE PUESTA A TIERRA, </t>
        </r>
      </text>
    </comment>
    <comment ref="S499" authorId="0" shapeId="0" xr:uid="{29CB65C6-0B47-473F-A84C-88CF0A8CD7A1}">
      <text>
        <r>
          <rPr>
            <b/>
            <sz val="8"/>
            <color indexed="81"/>
            <rFont val="Tahoma"/>
            <family val="2"/>
          </rPr>
          <t>Yamir Adrian Gomez:</t>
        </r>
        <r>
          <rPr>
            <sz val="8"/>
            <color indexed="81"/>
            <rFont val="Tahoma"/>
            <family val="2"/>
          </rPr>
          <t xml:space="preserve">
BACHILLER ACADEMICO, SISTEMA BASICOS, AUXILIAR DE PRODUCCION BOBINA, AUCTUALIZACION DE PROGRAMAS OFICE 2007, BASE DE DATOS Y DISEÑOS, NUEVAS COMPETENCIAS PARA SECRETARIAS EJECUTIVAS Y ASISTENTES DE DIRECCION.</t>
        </r>
      </text>
    </comment>
    <comment ref="S501" authorId="0" shapeId="0" xr:uid="{5FEB7D74-056F-48E6-AEE7-E130C36C337B}">
      <text>
        <r>
          <rPr>
            <b/>
            <sz val="8"/>
            <color indexed="81"/>
            <rFont val="Tahoma"/>
            <family val="2"/>
          </rPr>
          <t>Yamir Adrian Gomez:</t>
        </r>
        <r>
          <rPr>
            <sz val="8"/>
            <color indexed="81"/>
            <rFont val="Tahoma"/>
            <family val="2"/>
          </rPr>
          <t xml:space="preserve">
TECNICO ELECTRICISTA, BACHILLER ACADEMICO, CURSO DE FORMACION EN AUXILIAR DE SUBESTACIONES, </t>
        </r>
      </text>
    </comment>
    <comment ref="C502" authorId="0" shapeId="0" xr:uid="{9320D689-CBFC-4374-AE19-86A4D964FCDB}">
      <text>
        <r>
          <rPr>
            <b/>
            <sz val="9"/>
            <color indexed="81"/>
            <rFont val="Tahoma"/>
            <family val="2"/>
          </rPr>
          <t>Yamir Adrian Gomez:</t>
        </r>
        <r>
          <rPr>
            <sz val="9"/>
            <color indexed="81"/>
            <rFont val="Tahoma"/>
            <family val="2"/>
          </rPr>
          <t xml:space="preserve">
Paso a indefinido a partir de sep/2025</t>
        </r>
      </text>
    </comment>
    <comment ref="S503" authorId="0" shapeId="0" xr:uid="{BA082A34-927F-47D4-B8B3-1DF4CB1735ED}">
      <text>
        <r>
          <rPr>
            <b/>
            <sz val="8"/>
            <color indexed="81"/>
            <rFont val="Tahoma"/>
            <family val="2"/>
          </rPr>
          <t>Yamir Adrian Gomez:</t>
        </r>
        <r>
          <rPr>
            <sz val="8"/>
            <color indexed="81"/>
            <rFont val="Tahoma"/>
            <family val="2"/>
          </rPr>
          <t xml:space="preserve">
TECNICO ELECTRICISTA PRIMARIA</t>
        </r>
      </text>
    </comment>
    <comment ref="C504" authorId="0" shapeId="0" xr:uid="{EC9D8F4E-B5AC-440D-A830-DE568AE70BD9}">
      <text>
        <r>
          <rPr>
            <b/>
            <sz val="9"/>
            <color indexed="81"/>
            <rFont val="Tahoma"/>
            <family val="2"/>
          </rPr>
          <t>Yamir Adrian Gomez:</t>
        </r>
        <r>
          <rPr>
            <sz val="9"/>
            <color indexed="81"/>
            <rFont val="Tahoma"/>
            <family val="2"/>
          </rPr>
          <t xml:space="preserve">
CARGO DE HOYOS BENITES MAGALI</t>
        </r>
      </text>
    </comment>
    <comment ref="S504" authorId="0" shapeId="0" xr:uid="{B501A8AB-9B66-41BA-9E19-CED5CAB3CDC1}">
      <text>
        <r>
          <rPr>
            <b/>
            <sz val="8"/>
            <color indexed="81"/>
            <rFont val="Tahoma"/>
            <family val="2"/>
          </rPr>
          <t>Yamir Adrian Gomez:</t>
        </r>
        <r>
          <rPr>
            <sz val="8"/>
            <color indexed="81"/>
            <rFont val="Tahoma"/>
            <family val="2"/>
          </rPr>
          <t xml:space="preserve">
BACHILLER ACADEMICO,CURSO DE SISTEMA OPERATIVO, CURSO DE SECRETARIADO AUXILIAR DE PRODUCCION BOBINA</t>
        </r>
      </text>
    </comment>
    <comment ref="S505" authorId="0" shapeId="0" xr:uid="{B374A1F9-BBC9-4214-823C-98A6EA51A647}">
      <text>
        <r>
          <rPr>
            <b/>
            <sz val="8"/>
            <color indexed="81"/>
            <rFont val="Tahoma"/>
            <family val="2"/>
          </rPr>
          <t>Yamir Adrian Gomez:</t>
        </r>
        <r>
          <rPr>
            <sz val="8"/>
            <color indexed="81"/>
            <rFont val="Tahoma"/>
            <family val="2"/>
          </rPr>
          <t xml:space="preserve">
TECNICO ELECTRISTA, BACHILLER ACADEMICO, CAPACITACION DISEÑO Y MODELAJE DE MARROQUINERIA, CURSO BASICO DE COMPUTACION, </t>
        </r>
      </text>
    </comment>
    <comment ref="S506" authorId="0" shapeId="0" xr:uid="{EB35A671-E967-4166-9340-FD5EF2ECFA10}">
      <text>
        <r>
          <rPr>
            <b/>
            <sz val="8"/>
            <color indexed="81"/>
            <rFont val="Tahoma"/>
            <family val="2"/>
          </rPr>
          <t>Yamir Adrian Gomez:</t>
        </r>
        <r>
          <rPr>
            <sz val="8"/>
            <color indexed="81"/>
            <rFont val="Tahoma"/>
            <family val="2"/>
          </rPr>
          <t xml:space="preserve">
TECNICO ELECTRISTA, BACHILLER ACADEMICO, TECNICO EN CONTABILIDA SISTEMATIZADA, SEMINARIO TALLER EN ECONOMIA SOLIDARIA, </t>
        </r>
      </text>
    </comment>
    <comment ref="S507" authorId="0" shapeId="0" xr:uid="{7CE31DCA-9141-4F97-A45F-0C155FE2F729}">
      <text>
        <r>
          <rPr>
            <b/>
            <sz val="8"/>
            <color indexed="81"/>
            <rFont val="Tahoma"/>
            <family val="2"/>
          </rPr>
          <t>Yamir Adrian Gomez:</t>
        </r>
        <r>
          <rPr>
            <sz val="8"/>
            <color indexed="81"/>
            <rFont val="Tahoma"/>
            <family val="2"/>
          </rPr>
          <t xml:space="preserve">
TECNICO ELECTRICITA</t>
        </r>
      </text>
    </comment>
    <comment ref="S508" authorId="0" shapeId="0" xr:uid="{EA5B38A0-F604-4791-AC66-CB814B94CA89}">
      <text>
        <r>
          <rPr>
            <b/>
            <sz val="8"/>
            <color indexed="81"/>
            <rFont val="Tahoma"/>
            <family val="2"/>
          </rPr>
          <t>Yamir Adrian Gomez:</t>
        </r>
        <r>
          <rPr>
            <sz val="8"/>
            <color indexed="81"/>
            <rFont val="Tahoma"/>
            <family val="2"/>
          </rPr>
          <t xml:space="preserve">
TECNICO ELECTRICISTA  BACHILLER, INASTALACIONES ELCTRICAS DOMICILIARIAS, </t>
        </r>
      </text>
    </comment>
    <comment ref="S509" authorId="0" shapeId="0" xr:uid="{99811740-1674-4560-AC43-6D90558D4D5B}">
      <text>
        <r>
          <rPr>
            <b/>
            <sz val="8"/>
            <color indexed="81"/>
            <rFont val="Tahoma"/>
            <family val="2"/>
          </rPr>
          <t>Yamir Adrian Gomez:</t>
        </r>
        <r>
          <rPr>
            <sz val="8"/>
            <color indexed="81"/>
            <rFont val="Tahoma"/>
            <family val="2"/>
          </rPr>
          <t xml:space="preserve">
BACHILLER ACADEMICO</t>
        </r>
      </text>
    </comment>
    <comment ref="S511" authorId="0" shapeId="0" xr:uid="{86D67465-F21C-4C54-8F04-17E0B8328765}">
      <text>
        <r>
          <rPr>
            <b/>
            <sz val="8"/>
            <color indexed="81"/>
            <rFont val="Tahoma"/>
            <family val="2"/>
          </rPr>
          <t>Yamir Adrian Gomez:</t>
        </r>
        <r>
          <rPr>
            <sz val="8"/>
            <color indexed="81"/>
            <rFont val="Tahoma"/>
            <family val="2"/>
          </rPr>
          <t xml:space="preserve">
tecnico electrcista, Seminario medidas de prevencion en riesgo electrico con lineas energizadas y desenergizada de media, baja tension y subestacion de energia,  seminario del reglamento tecnico de instalacion electricas, RETIE y el regimen legal de la profesion de tecnico electricista. , capacitacion teorico practica en seguridad industrial, salud ocupacional ., Curso y mantenimiento de subestacion de distribucion, formacion en alumbrado publico.</t>
        </r>
      </text>
    </comment>
    <comment ref="S512" authorId="0" shapeId="0" xr:uid="{D9E35F68-1D5F-46B2-9953-BFA73BAFA498}">
      <text>
        <r>
          <rPr>
            <b/>
            <sz val="8"/>
            <color indexed="81"/>
            <rFont val="Tahoma"/>
            <family val="2"/>
          </rPr>
          <t>Yamir Adrian Gomez:</t>
        </r>
        <r>
          <rPr>
            <sz val="8"/>
            <color indexed="81"/>
            <rFont val="Tahoma"/>
            <family val="2"/>
          </rPr>
          <t xml:space="preserve">
Tecnico electricista, auxiliar de subestaciones, curso practico multimedia, Actualizacion en economia solidaria y portafolio de servicios COFINAL,  tres semestres de ingenieria electronica, curso de redes de media y alta tension, calculo y practico, seminario ultima normatividad en seguridad social, seminario nueva retencion en la fuente por salarios y por todos los demas conceptos,  curso informatica basica e internet, tecnico en sistemas de informacion y redes</t>
        </r>
      </text>
    </comment>
    <comment ref="C513" authorId="0" shapeId="0" xr:uid="{C20588BC-62B5-448D-8C19-D9E3CEE2104D}">
      <text>
        <r>
          <rPr>
            <b/>
            <sz val="9"/>
            <color indexed="81"/>
            <rFont val="Tahoma"/>
            <family val="2"/>
          </rPr>
          <t>Yamir Adrian Gomez:</t>
        </r>
        <r>
          <rPr>
            <sz val="9"/>
            <color indexed="81"/>
            <rFont val="Tahoma"/>
            <family val="2"/>
          </rPr>
          <t xml:space="preserve">
CARGO DE LIBO ANDRADE</t>
        </r>
      </text>
    </comment>
    <comment ref="S513" authorId="0" shapeId="0" xr:uid="{41492365-5FAE-44FA-90FF-E5000515C861}">
      <text>
        <r>
          <rPr>
            <b/>
            <sz val="8"/>
            <color indexed="81"/>
            <rFont val="Tahoma"/>
            <family val="2"/>
          </rPr>
          <t>Yamir Adrian Gomez:</t>
        </r>
        <r>
          <rPr>
            <sz val="8"/>
            <color indexed="81"/>
            <rFont val="Tahoma"/>
            <family val="2"/>
          </rPr>
          <t xml:space="preserve">
tecnico en administracion de empresas sistematizada, tecnico en programacion de sistemas, curso de mantenimiento, ensamble y reparacion de computadores,  seminario taller servicio y atencion al cliente, curso practico multimedia</t>
        </r>
      </text>
    </comment>
    <comment ref="S516" authorId="0" shapeId="0" xr:uid="{8B4D4862-3EF6-4F40-AD8F-2C8CA49D0AA4}">
      <text>
        <r>
          <rPr>
            <b/>
            <sz val="8"/>
            <color indexed="81"/>
            <rFont val="Tahoma"/>
            <family val="2"/>
          </rPr>
          <t>Yamir Adrian Gomez:</t>
        </r>
        <r>
          <rPr>
            <sz val="8"/>
            <color indexed="81"/>
            <rFont val="Tahoma"/>
            <family val="2"/>
          </rPr>
          <t xml:space="preserve">
Ingeniera de Sistemas, seminario I simposio de investigacion economica solidaria, seminario servidores W.E.B bajo linux y P.O.O en Java, Seminario en tecnologias en telecomunicaciones, Seminario taller competencias Laborales, curso mantenimiento de computadores, curso en redes y computadores, curso S.Q.L server</t>
        </r>
      </text>
    </comment>
    <comment ref="C517" authorId="0" shapeId="0" xr:uid="{C8120769-678F-4FFC-B864-5DBC00D7FC06}">
      <text>
        <r>
          <rPr>
            <b/>
            <sz val="9"/>
            <color indexed="81"/>
            <rFont val="Tahoma"/>
            <family val="2"/>
          </rPr>
          <t>Yamir Adrian Gomez:</t>
        </r>
        <r>
          <rPr>
            <sz val="9"/>
            <color indexed="81"/>
            <rFont val="Tahoma"/>
            <family val="2"/>
          </rPr>
          <t xml:space="preserve">
CARGO DE DAYANA SANTACRUZ</t>
        </r>
      </text>
    </comment>
    <comment ref="S517" authorId="0" shapeId="0" xr:uid="{4F6EC529-17C9-4811-B651-8A9FD3CA905C}">
      <text>
        <r>
          <rPr>
            <b/>
            <sz val="8"/>
            <color indexed="81"/>
            <rFont val="Tahoma"/>
            <family val="2"/>
          </rPr>
          <t>Yamir Adrian Gomez:</t>
        </r>
        <r>
          <rPr>
            <sz val="8"/>
            <color indexed="81"/>
            <rFont val="Tahoma"/>
            <family val="2"/>
          </rPr>
          <t xml:space="preserve">
7 semestre de administracion de empresas,tecnico laboral en sistemas e internet.</t>
        </r>
      </text>
    </comment>
    <comment ref="C518" authorId="1" shapeId="0" xr:uid="{517F7B6A-CFC5-413E-A9B6-C33CD466133B}">
      <text>
        <r>
          <rPr>
            <b/>
            <sz val="9"/>
            <color indexed="81"/>
            <rFont val="Tahoma"/>
            <family val="2"/>
          </rPr>
          <t>YAMIR GOMEZ:</t>
        </r>
        <r>
          <rPr>
            <sz val="9"/>
            <color indexed="81"/>
            <rFont val="Tahoma"/>
            <family val="2"/>
          </rPr>
          <t xml:space="preserve">
Cargo de hector chavez quien fallecio 29/05/2021</t>
        </r>
      </text>
    </comment>
    <comment ref="S519" authorId="0" shapeId="0" xr:uid="{18FECA9A-6BAF-4572-AB23-DF756415A80E}">
      <text>
        <r>
          <rPr>
            <b/>
            <sz val="8"/>
            <color indexed="81"/>
            <rFont val="Tahoma"/>
            <family val="2"/>
          </rPr>
          <t>Yamir Adrian Gomez:</t>
        </r>
        <r>
          <rPr>
            <sz val="8"/>
            <color indexed="81"/>
            <rFont val="Tahoma"/>
            <family val="2"/>
          </rPr>
          <t xml:space="preserve">
Tecnico electrisita, curso en mantenimiento preventivo de computadores,  curso operador programador en sistemas, seminario taller crisi y excelencia, curso re-entrenamiento trajo seguro en alturas,</t>
        </r>
      </text>
    </comment>
    <comment ref="S520" authorId="0" shapeId="0" xr:uid="{B129DA3C-C282-4B11-AE12-18BF866B869C}">
      <text>
        <r>
          <rPr>
            <b/>
            <sz val="8"/>
            <color indexed="81"/>
            <rFont val="Tahoma"/>
            <family val="2"/>
          </rPr>
          <t>Yamir Adrian Gomez:</t>
        </r>
        <r>
          <rPr>
            <sz val="8"/>
            <color indexed="81"/>
            <rFont val="Tahoma"/>
            <family val="2"/>
          </rPr>
          <t xml:space="preserve">
Ingeniero de Sistemas, Tecnologo en sistemas, seminario taller sobre investigacion aplicada a la facultad de ciencias basicas e ingenieria, curso de programa de recoleccion de informacion estadistica asistida por computador, curso practico  multimedia</t>
        </r>
      </text>
    </comment>
    <comment ref="S521" authorId="0" shapeId="0" xr:uid="{177761B3-2DF0-4BD7-BD2D-2712AE260261}">
      <text>
        <r>
          <rPr>
            <b/>
            <sz val="8"/>
            <color indexed="81"/>
            <rFont val="Tahoma"/>
            <family val="2"/>
          </rPr>
          <t>Yamir Adrian Gomez:</t>
        </r>
        <r>
          <rPr>
            <sz val="8"/>
            <color indexed="81"/>
            <rFont val="Tahoma"/>
            <family val="2"/>
          </rPr>
          <t xml:space="preserve">
Tecnico Electrisista, electrisidad basica, auxiliar de subestacion, informatica empresarial, relaciones humanas, informatica basica e internet, curso intermedio trabajo seguro en alturas, seminario taller calculo, diseño y construccion de redes electricas , en media y baja tension, aplicado a RETIE y NTC 2050, trabajo seguro en alturas, curso re-entrenamiento trajo seguro en alturas.</t>
        </r>
      </text>
    </comment>
    <comment ref="S522" authorId="0" shapeId="0" xr:uid="{7D8ED1C9-038D-4048-A96A-E4C6E20FE2A3}">
      <text>
        <r>
          <rPr>
            <b/>
            <sz val="8"/>
            <color indexed="81"/>
            <rFont val="Tahoma"/>
            <family val="2"/>
          </rPr>
          <t>Yamir Adrian Gomez:</t>
        </r>
        <r>
          <rPr>
            <sz val="8"/>
            <color indexed="81"/>
            <rFont val="Tahoma"/>
            <family val="2"/>
          </rPr>
          <t xml:space="preserve">
Tecnico electrisista,  curso de psicultura, seminario medidas de prevencion en riesgo electrico con lineas energizadas y desenergizada de media, baja tension y subestacion de energia,  curso avanzado trabajo seguro en alturas, curso re-entrenamiento trajo seguro en alturas.</t>
        </r>
      </text>
    </comment>
    <comment ref="C523" authorId="0" shapeId="0" xr:uid="{4A5D1463-ECD4-4ABD-ACCE-569527F2ED43}">
      <text>
        <r>
          <rPr>
            <b/>
            <sz val="9"/>
            <color indexed="81"/>
            <rFont val="Tahoma"/>
            <family val="2"/>
          </rPr>
          <t>Yamir Adrian Gomez:</t>
        </r>
        <r>
          <rPr>
            <sz val="9"/>
            <color indexed="81"/>
            <rFont val="Tahoma"/>
            <family val="2"/>
          </rPr>
          <t xml:space="preserve">
CARDO DE ALDO JESUS</t>
        </r>
      </text>
    </comment>
    <comment ref="S524" authorId="0" shapeId="0" xr:uid="{FBE54206-C3A7-4D4A-BE41-60A8ECF79EED}">
      <text>
        <r>
          <rPr>
            <b/>
            <sz val="8"/>
            <color indexed="81"/>
            <rFont val="Tahoma"/>
            <family val="2"/>
          </rPr>
          <t>Yamir Adrian Gomez:</t>
        </r>
        <r>
          <rPr>
            <sz val="8"/>
            <color indexed="81"/>
            <rFont val="Tahoma"/>
            <family val="2"/>
          </rPr>
          <t xml:space="preserve">
Tecnico electrisista, curso practico multimedia, curso avanzado trabajo seguro en alturas, curso reciclaje  en mantenimiento en redes electricas desernegizadas a 13,2 kv y 34,5 kv, seminario medidas de prevencion en riesgo electrico con lineas energizadas y desenergizada de media, baja tension y subestacion de energia,  curso re-entrenamiento trajo seguro en alturas, coordinador trabajo seguro en alturas</t>
        </r>
      </text>
    </comment>
    <comment ref="C525" authorId="1" shapeId="0" xr:uid="{9E2981E4-C90C-4FC1-A92E-B2DBFDBFC969}">
      <text>
        <r>
          <rPr>
            <b/>
            <sz val="9"/>
            <color indexed="81"/>
            <rFont val="Tahoma"/>
            <family val="2"/>
          </rPr>
          <t xml:space="preserve">YAMIR GOMEZ:
Cargo de Cruz Henrry quien paso a coordinador de grupo </t>
        </r>
      </text>
    </comment>
    <comment ref="S525" authorId="0" shapeId="0" xr:uid="{948ACB02-4B0C-4516-B790-DE1B585D4C66}">
      <text>
        <r>
          <rPr>
            <b/>
            <sz val="8"/>
            <color indexed="81"/>
            <rFont val="Tahoma"/>
            <family val="2"/>
          </rPr>
          <t>Yamir Adrian Gomez:</t>
        </r>
        <r>
          <rPr>
            <sz val="8"/>
            <color indexed="81"/>
            <rFont val="Tahoma"/>
            <family val="2"/>
          </rPr>
          <t xml:space="preserve">
tecnico electricista, re-entrenamiento en trabajo seguro en alturas, reciclaje en mantenimiento en redes electricas desenergizadas a 13,2 KV y 34,5 KV, seminario del reglamento tecnico de instalacion electricas, RETIE y el regimen legal de la profesion de tecnico electricista. auxiliar de subestaciones, seminario de nivelacion, diseño construccion y mediciones en sistemas de puesta a tierra, capacitacion teorico-practico en seguridad industrial, salud ocupacional.</t>
        </r>
      </text>
    </comment>
    <comment ref="S527" authorId="0" shapeId="0" xr:uid="{B0659566-28FA-41ED-86E1-5EAC1744026D}">
      <text>
        <r>
          <rPr>
            <b/>
            <sz val="8"/>
            <color indexed="81"/>
            <rFont val="Tahoma"/>
            <family val="2"/>
          </rPr>
          <t>Yamir Adrian Gomez:</t>
        </r>
        <r>
          <rPr>
            <sz val="8"/>
            <color indexed="81"/>
            <rFont val="Tahoma"/>
            <family val="2"/>
          </rPr>
          <t xml:space="preserve">
bachiller academico</t>
        </r>
      </text>
    </comment>
    <comment ref="C528" authorId="0" shapeId="0" xr:uid="{207B5DAE-F1EA-4C1A-93C4-7190509ECC20}">
      <text>
        <r>
          <rPr>
            <b/>
            <sz val="9"/>
            <color indexed="81"/>
            <rFont val="Tahoma"/>
            <family val="2"/>
          </rPr>
          <t>Yamir Adrian Gomez:</t>
        </r>
        <r>
          <rPr>
            <sz val="9"/>
            <color indexed="81"/>
            <rFont val="Tahoma"/>
            <family val="2"/>
          </rPr>
          <t xml:space="preserve">
Cargo marcos cayetano quien renuncio a aprtir del 01/09/22 por jubilacion on colpensiones. Evelin alejandra diaz hasta 31/12/25.</t>
        </r>
      </text>
    </comment>
    <comment ref="C529" authorId="0" shapeId="0" xr:uid="{A2F393F5-BFB6-4268-836A-4EED53C0CD66}">
      <text>
        <r>
          <rPr>
            <b/>
            <sz val="9"/>
            <color indexed="81"/>
            <rFont val="Tahoma"/>
            <family val="2"/>
          </rPr>
          <t>Yamir Adrian Gomez:</t>
        </r>
        <r>
          <rPr>
            <sz val="9"/>
            <color indexed="81"/>
            <rFont val="Tahoma"/>
            <family val="2"/>
          </rPr>
          <t xml:space="preserve">
CARGO DE JOSE ELICEO QUIEN RENUNCIO A PARTIR DEL 01/06/23.</t>
        </r>
      </text>
    </comment>
    <comment ref="C530" authorId="0" shapeId="0" xr:uid="{D7AF7093-FB04-4B9F-A14B-6109CFA4BCD1}">
      <text>
        <r>
          <rPr>
            <b/>
            <sz val="9"/>
            <color indexed="81"/>
            <rFont val="Tahoma"/>
            <family val="2"/>
          </rPr>
          <t>Yamir Adrian Gomez:</t>
        </r>
        <r>
          <rPr>
            <sz val="9"/>
            <color indexed="81"/>
            <rFont val="Tahoma"/>
            <family val="2"/>
          </rPr>
          <t xml:space="preserve">
ENCARGO COMO RECAUDADOR. cargo de zambrano diaz balbino quien renuncio a partir del 01/04/2024. ASCENSO A PARTIR DEL 01/01/2026</t>
        </r>
      </text>
    </comment>
    <comment ref="S530" authorId="0" shapeId="0" xr:uid="{CFE0B37C-355A-45C3-BAA2-C39F344C94A0}">
      <text>
        <r>
          <rPr>
            <b/>
            <sz val="8"/>
            <color indexed="81"/>
            <rFont val="Tahoma"/>
            <family val="2"/>
          </rPr>
          <t>Yamir Adrian Gomez:</t>
        </r>
        <r>
          <rPr>
            <sz val="8"/>
            <color indexed="81"/>
            <rFont val="Tahoma"/>
            <family val="2"/>
          </rPr>
          <t xml:space="preserve">
tecnico electricista,  curso intermedio trabajo seguro en alturas, auxiliar de subestaciones, seminario medidas de prevencion en riesgo electrico con lineas energizadas y desenergizada de media, baja tension y subestacion de energia, curso de informatica basica, auxiliar en sistemas, curso practico multimedia.</t>
        </r>
      </text>
    </comment>
    <comment ref="S531" authorId="0" shapeId="0" xr:uid="{EB0E681A-BA76-4348-B4B0-FAF40C9F2BA9}">
      <text>
        <r>
          <rPr>
            <b/>
            <sz val="8"/>
            <color indexed="81"/>
            <rFont val="Tahoma"/>
            <family val="2"/>
          </rPr>
          <t>Yamir Adrian Gomez:</t>
        </r>
        <r>
          <rPr>
            <sz val="8"/>
            <color indexed="81"/>
            <rFont val="Tahoma"/>
            <family val="2"/>
          </rPr>
          <t xml:space="preserve">
tecnico electricista, oficial de la construccion, auxiliar en informatica, electricidad basica, conexión y ensayode transformadores, mecanica basica (electricidad), instalaciones electronicas domiciliarias , mantenimiento maquinas electricas rotativas, auxiliar de subestaciones, seminario medidas de prevencion en riesgo electrico con lineas energizadas y desenergizada de media, baja tension y subestacion de energia, curso intermedio trabajo seguro en alturas</t>
        </r>
      </text>
    </comment>
    <comment ref="S532" authorId="0" shapeId="0" xr:uid="{D90C72DF-58C5-4B0B-89A1-54BD7ACC6C6A}">
      <text>
        <r>
          <rPr>
            <b/>
            <sz val="8"/>
            <color indexed="81"/>
            <rFont val="Tahoma"/>
            <family val="2"/>
          </rPr>
          <t>Yamir Adrian Gomez:</t>
        </r>
        <r>
          <rPr>
            <sz val="8"/>
            <color indexed="81"/>
            <rFont val="Tahoma"/>
            <family val="2"/>
          </rPr>
          <t xml:space="preserve">
tecnico electricista, curso practico multimedia, seminario medidas de prevencion en riesgo electrico con lineas energizadas y desenergizada de media, baja tension y subestacion de energia, curso avanzado trabajo seguro en alturas,re- entrenamiento en alturas, siete semestres de administracion publica</t>
        </r>
      </text>
    </comment>
    <comment ref="C533" authorId="4" shapeId="0" xr:uid="{B038D8A2-E2C4-46A2-8A06-C7EB760C661F}">
      <text>
        <r>
          <rPr>
            <b/>
            <sz val="8"/>
            <color indexed="81"/>
            <rFont val="Tahoma"/>
            <family val="2"/>
          </rPr>
          <t>ygomez:</t>
        </r>
        <r>
          <rPr>
            <sz val="8"/>
            <color indexed="81"/>
            <rFont val="Tahoma"/>
            <family val="2"/>
          </rPr>
          <t xml:space="preserve">
GARCIA JESUS (T.FIJO) EN REEMPLEZO DEL SEÑOR SEGUNDO GARCIA QUE ES TERMINO INDEFINIDO.</t>
        </r>
      </text>
    </comment>
    <comment ref="S533" authorId="0" shapeId="0" xr:uid="{37FA8F42-785D-465F-A332-1104F6511A0A}">
      <text>
        <r>
          <rPr>
            <b/>
            <sz val="8"/>
            <color indexed="81"/>
            <rFont val="Tahoma"/>
            <family val="2"/>
          </rPr>
          <t>Yamir Adrian Gomez:</t>
        </r>
        <r>
          <rPr>
            <sz val="8"/>
            <color indexed="81"/>
            <rFont val="Tahoma"/>
            <family val="2"/>
          </rPr>
          <t xml:space="preserve">
tecnico electrisita, seminario medidas de prevencion en riesgo electrico con lineas energizadas y desenergizada de media, baja tension y subestacion de energia,  curso re-entrenamiento trajo seguro en alturas, curso intermedio  en trabajo seguro en alturascurso avanzado  en trabajo seguro en alturas, curso de cooperativismo basico </t>
        </r>
      </text>
    </comment>
    <comment ref="F535" authorId="0" shapeId="0" xr:uid="{A706E4AD-7409-44EC-80E3-15A4ABE4B144}">
      <text>
        <r>
          <rPr>
            <b/>
            <sz val="9"/>
            <color indexed="81"/>
            <rFont val="Tahoma"/>
            <family val="2"/>
          </rPr>
          <t>Yamir Adrian Gomez:</t>
        </r>
        <r>
          <rPr>
            <sz val="9"/>
            <color indexed="81"/>
            <rFont val="Tahoma"/>
            <family val="2"/>
          </rPr>
          <t xml:space="preserve">
COM FUN DESDE 06/04/26</t>
        </r>
      </text>
    </comment>
    <comment ref="S535" authorId="0" shapeId="0" xr:uid="{3A7426A1-6A72-4D3C-97ED-3100FAD558C5}">
      <text>
        <r>
          <rPr>
            <b/>
            <sz val="8"/>
            <color indexed="81"/>
            <rFont val="Tahoma"/>
            <family val="2"/>
          </rPr>
          <t>Yamir Adrian Gomez:</t>
        </r>
        <r>
          <rPr>
            <sz val="8"/>
            <color indexed="81"/>
            <rFont val="Tahoma"/>
            <family val="2"/>
          </rPr>
          <t xml:space="preserve">
curso de instalacion y deteccion de fraudes e contadores electronicos, seminario medidas de prevencion en riesgo electrico con lineas energizadas y desenergizada de media, baja tension y subestacion de energia.</t>
        </r>
      </text>
    </comment>
    <comment ref="C536" authorId="0" shapeId="0" xr:uid="{93C6A0AD-886A-43F5-BEAB-B3002048668A}">
      <text>
        <r>
          <rPr>
            <b/>
            <sz val="9"/>
            <color indexed="81"/>
            <rFont val="Tahoma"/>
            <family val="2"/>
          </rPr>
          <t>Yamir Adrian Gomez:</t>
        </r>
        <r>
          <rPr>
            <sz val="9"/>
            <color indexed="81"/>
            <rFont val="Tahoma"/>
            <family val="2"/>
          </rPr>
          <t xml:space="preserve">
Cargo de Nelson Marroquin quien renuncio a partri del 15/08/25.</t>
        </r>
      </text>
    </comment>
    <comment ref="S536" authorId="0" shapeId="0" xr:uid="{8260F6BC-DF94-4FEA-89CC-49E435EB4DBB}">
      <text>
        <r>
          <rPr>
            <b/>
            <sz val="8"/>
            <color indexed="81"/>
            <rFont val="Tahoma"/>
            <family val="2"/>
          </rPr>
          <t>Yamir Adrian Gomez:</t>
        </r>
        <r>
          <rPr>
            <sz val="8"/>
            <color indexed="81"/>
            <rFont val="Tahoma"/>
            <family val="2"/>
          </rPr>
          <t xml:space="preserve">
tecnico electricista,curso practico multimedia,seminario medidas de prevencion en riesgo electrico con lineas energizadas y desenergizada de media, baja tension y subestacion de energia, curso avanzado en alturas, mecanica de minas,avances en descentralizacion municipal de salud, diplomado en gerencia publica y social, seminario calidades del cafe, curso de intermedio trabajo en alturas</t>
        </r>
      </text>
    </comment>
    <comment ref="C537" authorId="0" shapeId="0" xr:uid="{EE1961F1-8AB4-48BB-92F1-8385ECE6FC7C}">
      <text>
        <r>
          <rPr>
            <b/>
            <sz val="9"/>
            <color indexed="81"/>
            <rFont val="Tahoma"/>
            <family val="2"/>
          </rPr>
          <t>Yamir Adrian Gomez:</t>
        </r>
        <r>
          <rPr>
            <sz val="9"/>
            <color indexed="81"/>
            <rFont val="Tahoma"/>
            <family val="2"/>
          </rPr>
          <t xml:space="preserve">
CARGO DE EDGAR DIAZ QUIEN RENUNCIO A PRTIR DEL 01/08/26</t>
        </r>
      </text>
    </comment>
    <comment ref="S537" authorId="0" shapeId="0" xr:uid="{E17515DA-532B-4F3C-B3D4-388C7A178D3F}">
      <text>
        <r>
          <rPr>
            <b/>
            <sz val="8"/>
            <color indexed="81"/>
            <rFont val="Tahoma"/>
            <family val="2"/>
          </rPr>
          <t>Yamir Adrian Gomez:</t>
        </r>
        <r>
          <rPr>
            <sz val="8"/>
            <color indexed="81"/>
            <rFont val="Tahoma"/>
            <family val="2"/>
          </rPr>
          <t xml:space="preserve">
Tecnico electricista, curso practico multimedia, curso avanzado trabajo seguro en alturas, curso re-entrenamiento trajo seguro en alturas. </t>
        </r>
      </text>
    </comment>
    <comment ref="S538" authorId="0" shapeId="0" xr:uid="{D3879951-F25A-4800-8C46-9B825F0EDEA1}">
      <text>
        <r>
          <rPr>
            <b/>
            <sz val="8"/>
            <color indexed="81"/>
            <rFont val="Tahoma"/>
            <family val="2"/>
          </rPr>
          <t>Yamir Adrian Gomez:</t>
        </r>
        <r>
          <rPr>
            <sz val="8"/>
            <color indexed="81"/>
            <rFont val="Tahoma"/>
            <family val="2"/>
          </rPr>
          <t xml:space="preserve">
Tecnico electricista, tecnico profesional en construccion  y montajes de instalacione electricas, tecnico laboral en electricidad y electronica, curso intermedio trabajo seguro en alturas.</t>
        </r>
      </text>
    </comment>
    <comment ref="S539" authorId="0" shapeId="0" xr:uid="{6E1641B5-5338-4BF7-8DDF-A7AE98C57257}">
      <text>
        <r>
          <rPr>
            <b/>
            <sz val="8"/>
            <color indexed="81"/>
            <rFont val="Tahoma"/>
            <family val="2"/>
          </rPr>
          <t>Yamir Adrian Gomez:</t>
        </r>
        <r>
          <rPr>
            <sz val="8"/>
            <color indexed="81"/>
            <rFont val="Tahoma"/>
            <family val="2"/>
          </rPr>
          <t xml:space="preserve">
Tecnico Electrisita, cusro trabajo intermedio seguro en alturas, seminario medidas de prevencion en riesgo electrico con lineas energizadas y desenergizada de media, baja tension y subestacion de energia, curso avanzado trabajo seguro en alturas,  curso re-entrenamiento trajo seguro en alturas.</t>
        </r>
      </text>
    </comment>
    <comment ref="C540" authorId="0" shapeId="0" xr:uid="{F9148C39-7603-4CF1-A94B-9F73BE51AAB2}">
      <text>
        <r>
          <rPr>
            <b/>
            <sz val="9"/>
            <color indexed="81"/>
            <rFont val="Tahoma"/>
            <family val="2"/>
          </rPr>
          <t>Yamir Adrian Gomez:</t>
        </r>
        <r>
          <rPr>
            <sz val="9"/>
            <color indexed="81"/>
            <rFont val="Tahoma"/>
            <family val="2"/>
          </rPr>
          <t xml:space="preserve">
cargo armando tutistar quien renuncio a partir del 02/02/2025.</t>
        </r>
      </text>
    </comment>
    <comment ref="S540" authorId="0" shapeId="0" xr:uid="{63CEBE1F-3AD6-4C01-BD91-D56EDE55862C}">
      <text>
        <r>
          <rPr>
            <b/>
            <sz val="8"/>
            <color indexed="81"/>
            <rFont val="Tahoma"/>
            <family val="2"/>
          </rPr>
          <t>Yamir Adrian Gomez:</t>
        </r>
        <r>
          <rPr>
            <sz val="8"/>
            <color indexed="81"/>
            <rFont val="Tahoma"/>
            <family val="2"/>
          </rPr>
          <t xml:space="preserve">
Tecnico electricista, Tecnico profesional en sistema, curso practico multimedia, curso re-entrenamiento trajo seguro en alturas. 
</t>
        </r>
      </text>
    </comment>
    <comment ref="S541" authorId="0" shapeId="0" xr:uid="{8F8DCB7A-2F6E-4373-BA2A-AB0154D49C69}">
      <text>
        <r>
          <rPr>
            <b/>
            <sz val="8"/>
            <color indexed="81"/>
            <rFont val="Tahoma"/>
            <family val="2"/>
          </rPr>
          <t>Yamir Adrian Gomez:</t>
        </r>
        <r>
          <rPr>
            <sz val="8"/>
            <color indexed="81"/>
            <rFont val="Tahoma"/>
            <family val="2"/>
          </rPr>
          <t xml:space="preserve">
Licenciado en comercio y contaduria, Tecnico electricista, curso excel, ilustratos,, photoshop, dreamweaver, mantenimiento pc, power point, windows, auxiliar en facturacion y administracion de servicios de salud faseI y II, programacion en sistemas de computacion, seminario en capacitacion de eficiencia energetica, seminario en reglamento tecnico de instalaciones electricas - RETIE y regimen legal de la profesion de Tecnicos electrisitas, seminario sistemans puesta a tierra, seminario actualizacion educacion, competencias basicas y evaluacion, seminario medidas de preveencion en riesgo electrico con lineas energizadas de media, baja tension y subestacion de energia, curso avanzado trabajo seguro en alturas, curso practico multimedia, curso re-entrenamiento trajo seguro en alturas</t>
        </r>
      </text>
    </comment>
    <comment ref="C542" authorId="0" shapeId="0" xr:uid="{470DD744-7F7C-4659-99A6-7E9EB1232AA2}">
      <text>
        <r>
          <rPr>
            <b/>
            <sz val="9"/>
            <color indexed="81"/>
            <rFont val="Tahoma"/>
            <family val="2"/>
          </rPr>
          <t>Yamir Adrian Gomez:</t>
        </r>
        <r>
          <rPr>
            <sz val="9"/>
            <color indexed="81"/>
            <rFont val="Tahoma"/>
            <family val="2"/>
          </rPr>
          <t xml:space="preserve">
Manuel giraldo dominguez hasta 31/12/25.</t>
        </r>
      </text>
    </comment>
    <comment ref="S543" authorId="0" shapeId="0" xr:uid="{75B01631-D1BB-40C7-980D-EA16A6D96D8E}">
      <text>
        <r>
          <rPr>
            <b/>
            <sz val="8"/>
            <color indexed="81"/>
            <rFont val="Tahoma"/>
            <family val="2"/>
          </rPr>
          <t>Yamir Adrian Gomez:</t>
        </r>
        <r>
          <rPr>
            <sz val="8"/>
            <color indexed="81"/>
            <rFont val="Tahoma"/>
            <family val="2"/>
          </rPr>
          <t xml:space="preserve">
Tecnico electricista, auxiliar en sistemas, curso basico de defensa civil, curso de primeros auxilios, seminario de nivelacion , diseño construccion y mediciones en sistemas de puesta a tierra, auxiliar en sistemas diseño grafico e internet, tecnico laboral electrisista y electronica, curso de formacion redes de media y alta tension, normatividad y practica , seminario taller en sistemas general de seguridad social en salud en el municipio y legislacion indigena en el marco legal de la salud, curso avanzado trabajo seguro en alturas, curso re-entrenamiento trajo seguro en alturas. </t>
        </r>
      </text>
    </comment>
    <comment ref="S544" authorId="0" shapeId="0" xr:uid="{D176BEF3-BEEB-4FE0-B050-C0CC634D41BD}">
      <text>
        <r>
          <rPr>
            <b/>
            <sz val="8"/>
            <color indexed="81"/>
            <rFont val="Tahoma"/>
            <family val="2"/>
          </rPr>
          <t>Yamir Adrian Gomez:</t>
        </r>
        <r>
          <rPr>
            <sz val="8"/>
            <color indexed="81"/>
            <rFont val="Tahoma"/>
            <family val="2"/>
          </rPr>
          <t xml:space="preserve">
Tecnico electrisita, cusro avanzado seguro en alturas, curso re-entrenamento trabajo seguro en alturas, curso practico multimedia.</t>
        </r>
      </text>
    </comment>
    <comment ref="S545" authorId="0" shapeId="0" xr:uid="{1D7C2606-EE3E-4C7C-B729-7296BDDB5AA6}">
      <text>
        <r>
          <rPr>
            <b/>
            <sz val="8"/>
            <color indexed="81"/>
            <rFont val="Tahoma"/>
            <family val="2"/>
          </rPr>
          <t>Yamir Adrian Gomez:</t>
        </r>
        <r>
          <rPr>
            <sz val="8"/>
            <color indexed="81"/>
            <rFont val="Tahoma"/>
            <family val="2"/>
          </rPr>
          <t xml:space="preserve">
Tecnico electricista, curso en accion social, curso en redes de media y alta tension, calculo y pactica, curso practico multimedia, seminario medidas de prevencion en riesgo electrico con lineas energizadas y desenergizadas de media, baja tension y subestacion de energia, curso avanzado trabajo seguro en alturas, tecnico laboral en electricidad y electronica curso en manejo de computadores y ofimatica,  curso re-entrenamiento trajo seguro en alturas. </t>
        </r>
      </text>
    </comment>
    <comment ref="C546" authorId="0" shapeId="0" xr:uid="{4B22569A-219B-4E8C-904E-563757A6D6F8}">
      <text>
        <r>
          <rPr>
            <b/>
            <sz val="8"/>
            <color indexed="81"/>
            <rFont val="Tahoma"/>
            <family val="2"/>
          </rPr>
          <t>Yamir Adrian Gomez:</t>
        </r>
        <r>
          <rPr>
            <sz val="8"/>
            <color indexed="81"/>
            <rFont val="Tahoma"/>
            <family val="2"/>
          </rPr>
          <t xml:space="preserve">
CARGO DE HAROLD CABRERA</t>
        </r>
      </text>
    </comment>
    <comment ref="S546" authorId="0" shapeId="0" xr:uid="{5E3F1768-3C65-4A9C-84EA-99EFD5E83EB1}">
      <text>
        <r>
          <rPr>
            <b/>
            <sz val="8"/>
            <color indexed="81"/>
            <rFont val="Tahoma"/>
            <family val="2"/>
          </rPr>
          <t>Yamir Adrian Gomez:</t>
        </r>
        <r>
          <rPr>
            <sz val="8"/>
            <color indexed="81"/>
            <rFont val="Tahoma"/>
            <family val="2"/>
          </rPr>
          <t xml:space="preserve">
Bachiller academico.</t>
        </r>
      </text>
    </comment>
    <comment ref="S547" authorId="0" shapeId="0" xr:uid="{DEC02DC8-E137-4F51-B57F-6A04F2C9A0AB}">
      <text>
        <r>
          <rPr>
            <b/>
            <sz val="8"/>
            <color indexed="81"/>
            <rFont val="Tahoma"/>
            <family val="2"/>
          </rPr>
          <t>Yamir Adrian Gomez:</t>
        </r>
        <r>
          <rPr>
            <sz val="8"/>
            <color indexed="81"/>
            <rFont val="Tahoma"/>
            <family val="2"/>
          </rPr>
          <t xml:space="preserve">
Tecnico Electricista, curso avanzado de trabajo en alturas,   diseño y calculo de las instalaciones electricas,curso de  prevencion de accidentes en trabajos con riesgo electronico, curso electricidad basica, curso de manejo de parametros electronicos en circuitos trifasicos de corriente alterna, curso practicas de electrcidad basados en normatividad tecnica, curso riesgo electronicos y medidas de control,  curso intermedio de trabajo seguro en alturas.</t>
        </r>
      </text>
    </comment>
    <comment ref="S548" authorId="0" shapeId="0" xr:uid="{B3B85A25-8553-481A-BB1A-E55679B74527}">
      <text>
        <r>
          <rPr>
            <b/>
            <sz val="8"/>
            <color indexed="81"/>
            <rFont val="Tahoma"/>
            <family val="2"/>
          </rPr>
          <t>Yamir Adrian Gomez:</t>
        </r>
        <r>
          <rPr>
            <sz val="8"/>
            <color indexed="81"/>
            <rFont val="Tahoma"/>
            <family val="2"/>
          </rPr>
          <t xml:space="preserve">
Tecnico electricista. </t>
        </r>
      </text>
    </comment>
    <comment ref="S549" authorId="0" shapeId="0" xr:uid="{A76F2432-075E-4697-A886-23DDEFF95561}">
      <text>
        <r>
          <rPr>
            <b/>
            <sz val="8"/>
            <color indexed="81"/>
            <rFont val="Tahoma"/>
            <family val="2"/>
          </rPr>
          <t>Yamir Adrian Gomez:</t>
        </r>
        <r>
          <rPr>
            <sz val="8"/>
            <color indexed="81"/>
            <rFont val="Tahoma"/>
            <family val="2"/>
          </rPr>
          <t xml:space="preserve">
curso practico multimedia.</t>
        </r>
      </text>
    </comment>
    <comment ref="S550" authorId="0" shapeId="0" xr:uid="{911AF2AB-7134-4244-A7A3-35666A100E66}">
      <text>
        <r>
          <rPr>
            <b/>
            <sz val="8"/>
            <color indexed="81"/>
            <rFont val="Tahoma"/>
            <family val="2"/>
          </rPr>
          <t>Yamir Adrian Gomez:</t>
        </r>
        <r>
          <rPr>
            <sz val="8"/>
            <color indexed="81"/>
            <rFont val="Tahoma"/>
            <family val="2"/>
          </rPr>
          <t xml:space="preserve">
curso practico multimedia</t>
        </r>
      </text>
    </comment>
    <comment ref="C554" authorId="0" shapeId="0" xr:uid="{6544F832-D7BE-4D60-B8A2-92334893B069}">
      <text>
        <r>
          <rPr>
            <b/>
            <sz val="9"/>
            <color indexed="81"/>
            <rFont val="Tahoma"/>
            <family val="2"/>
          </rPr>
          <t>Yamir Adrian Gomez:</t>
        </r>
        <r>
          <rPr>
            <sz val="9"/>
            <color indexed="81"/>
            <rFont val="Tahoma"/>
            <family val="2"/>
          </rPr>
          <t xml:space="preserve">
enc desde 03/08/26.cargo de robinson</t>
        </r>
      </text>
    </comment>
    <comment ref="C556" authorId="1" shapeId="0" xr:uid="{2D9C4EC8-2D4A-491D-BCFC-4C448501B27F}">
      <text>
        <r>
          <rPr>
            <b/>
            <sz val="9"/>
            <color indexed="81"/>
            <rFont val="Tahoma"/>
            <family val="2"/>
          </rPr>
          <t>YAMIR GOMEZ:</t>
        </r>
        <r>
          <rPr>
            <sz val="9"/>
            <color indexed="81"/>
            <rFont val="Tahoma"/>
            <family val="2"/>
          </rPr>
          <t xml:space="preserve">
CARGO DE LINA LOZANO QUIEN RENUNCIO A PARTIR DEL 19/01/2022</t>
        </r>
      </text>
    </comment>
    <comment ref="C557" authorId="0" shapeId="0" xr:uid="{562FC851-AF83-4D9C-9230-B561F4DA63F5}">
      <text>
        <r>
          <rPr>
            <b/>
            <sz val="9"/>
            <color indexed="81"/>
            <rFont val="Tahoma"/>
            <family val="2"/>
          </rPr>
          <t>Yamir Adrian Gomez:</t>
        </r>
        <r>
          <rPr>
            <sz val="9"/>
            <color indexed="81"/>
            <rFont val="Tahoma"/>
            <family val="2"/>
          </rPr>
          <t xml:space="preserve">
ENC DESDE 03/08/26. CARGO DE OSCAR BENITEZ</t>
        </r>
      </text>
    </comment>
    <comment ref="C561" authorId="0" shapeId="0" xr:uid="{3AF3FEF5-FF80-484A-9C46-46E58838BC09}">
      <text>
        <r>
          <rPr>
            <b/>
            <sz val="9"/>
            <color indexed="81"/>
            <rFont val="Tahoma"/>
            <family val="2"/>
          </rPr>
          <t>Yamir Adrian Gomez:</t>
        </r>
        <r>
          <rPr>
            <sz val="9"/>
            <color indexed="81"/>
            <rFont val="Tahoma"/>
            <family val="2"/>
          </rPr>
          <t xml:space="preserve">
ENC DESDE 03/08/26.CARGO JULIO CESAR DIAZ</t>
        </r>
      </text>
    </comment>
    <comment ref="C562" authorId="0" shapeId="0" xr:uid="{09257FDC-DA0A-4ED2-9BAF-770267425B45}">
      <text>
        <r>
          <rPr>
            <b/>
            <sz val="9"/>
            <color indexed="81"/>
            <rFont val="Tahoma"/>
            <family val="2"/>
          </rPr>
          <t>Yamir Adrian Gomez:</t>
        </r>
        <r>
          <rPr>
            <sz val="9"/>
            <color indexed="81"/>
            <rFont val="Tahoma"/>
            <family val="2"/>
          </rPr>
          <t xml:space="preserve">
Cargo de Ramirez francisco genrado quien ascednio a opera sbes desde 05/05/26.</t>
        </r>
      </text>
    </comment>
    <comment ref="F562" authorId="0" shapeId="0" xr:uid="{10193CB1-6D35-4D85-B1A1-D86171B8A2B9}">
      <text>
        <r>
          <rPr>
            <b/>
            <sz val="9"/>
            <color indexed="81"/>
            <rFont val="Tahoma"/>
            <family val="2"/>
          </rPr>
          <t>Yamir Adrian Gomez:</t>
        </r>
        <r>
          <rPr>
            <sz val="9"/>
            <color indexed="81"/>
            <rFont val="Tahoma"/>
            <family val="2"/>
          </rPr>
          <t xml:space="preserve">
ENCARGO DESDE 01/07/2026</t>
        </r>
      </text>
    </comment>
    <comment ref="C563" authorId="0" shapeId="0" xr:uid="{4D1869F7-B82C-402E-BF13-C868376C9EAE}">
      <text>
        <r>
          <rPr>
            <b/>
            <sz val="9"/>
            <color indexed="81"/>
            <rFont val="Tahoma"/>
            <family val="2"/>
          </rPr>
          <t>Yamir Adrian Gomez:</t>
        </r>
        <r>
          <rPr>
            <sz val="9"/>
            <color indexed="81"/>
            <rFont val="Tahoma"/>
            <family val="2"/>
          </rPr>
          <t xml:space="preserve">
CARGO DE JIMENA GAVIRIA</t>
        </r>
      </text>
    </comment>
    <comment ref="C564" authorId="0" shapeId="0" xr:uid="{CA626697-8A1B-47DF-8DA2-89CDF768804A}">
      <text>
        <r>
          <rPr>
            <b/>
            <sz val="9"/>
            <color indexed="81"/>
            <rFont val="Tahoma"/>
            <family val="2"/>
          </rPr>
          <t>Yamir Adrian Gomez:</t>
        </r>
        <r>
          <rPr>
            <sz val="9"/>
            <color indexed="81"/>
            <rFont val="Tahoma"/>
            <family val="2"/>
          </rPr>
          <t xml:space="preserve">
Cargo de karen montaño quien paso a encargo de aux ii a partir del 01/07/26.</t>
        </r>
      </text>
    </comment>
    <comment ref="C565" authorId="0" shapeId="0" xr:uid="{9252160B-677F-4E73-8103-2790ED0C1FBE}">
      <text>
        <r>
          <rPr>
            <b/>
            <sz val="9"/>
            <color indexed="81"/>
            <rFont val="Tahoma"/>
            <family val="2"/>
          </rPr>
          <t>Yamir Adrian Gomez:</t>
        </r>
        <r>
          <rPr>
            <sz val="9"/>
            <color indexed="81"/>
            <rFont val="Tahoma"/>
            <family val="2"/>
          </rPr>
          <t xml:space="preserve">
cargo pedro manuel</t>
        </r>
      </text>
    </comment>
    <comment ref="C567" authorId="0" shapeId="0" xr:uid="{EC7E009E-5447-4BD8-B653-7E2DF0F7862F}">
      <text>
        <r>
          <rPr>
            <b/>
            <sz val="8"/>
            <color indexed="81"/>
            <rFont val="Tahoma"/>
            <family val="2"/>
          </rPr>
          <t>Yamir Adrian Gomez
Encargo desde 01/11/25. Cargo de Jaime chingual quien paso a tec ii</t>
        </r>
      </text>
    </comment>
    <comment ref="C568" authorId="0" shapeId="0" xr:uid="{8574AEFB-AE2C-4497-AD53-8A2924350FA0}">
      <text>
        <r>
          <rPr>
            <b/>
            <sz val="8"/>
            <color indexed="81"/>
            <rFont val="Tahoma"/>
            <family val="2"/>
          </rPr>
          <t>Yamir Adrian Gomez:</t>
        </r>
        <r>
          <rPr>
            <sz val="8"/>
            <color indexed="81"/>
            <rFont val="Tahoma"/>
            <family val="2"/>
          </rPr>
          <t xml:space="preserve">
cargo de gerson</t>
        </r>
      </text>
    </comment>
    <comment ref="C571" authorId="0" shapeId="0" xr:uid="{2CBDC7D2-7446-4A11-A5F6-2ABB01141B00}">
      <text>
        <r>
          <rPr>
            <b/>
            <sz val="8"/>
            <color indexed="81"/>
            <rFont val="Tahoma"/>
            <family val="2"/>
          </rPr>
          <t>Yamir Adrian Gomez
Cargo de FLAVIO CASTILLO QUIEN PASO A LINIERO I A PARTIR DEL 01/11/25. 
franklin ernesto quiñones hasta 31/12/25</t>
        </r>
      </text>
    </comment>
    <comment ref="C573" authorId="0" shapeId="0" xr:uid="{CC54418E-B925-49DD-8A1F-E593F840E956}">
      <text>
        <r>
          <rPr>
            <b/>
            <sz val="9"/>
            <color indexed="81"/>
            <rFont val="Tahoma"/>
            <family val="2"/>
          </rPr>
          <t>Yamir Adrian Gomez:</t>
        </r>
        <r>
          <rPr>
            <sz val="9"/>
            <color indexed="81"/>
            <rFont val="Tahoma"/>
            <family val="2"/>
          </rPr>
          <t xml:space="preserve">
ENCA DESDE 05/08/26.CARGO DE JOSE RAUL NOGALES QUIEN RENUNCIO A PARTIR DEL 01/08/26</t>
        </r>
      </text>
    </comment>
    <comment ref="C574" authorId="0" shapeId="0" xr:uid="{81461B88-D623-4895-B038-7032718CA7E6}">
      <text>
        <r>
          <rPr>
            <b/>
            <sz val="9"/>
            <color indexed="81"/>
            <rFont val="Tahoma"/>
            <family val="2"/>
          </rPr>
          <t>Yamir Adrian Gomez:</t>
        </r>
        <r>
          <rPr>
            <sz val="9"/>
            <color indexed="81"/>
            <rFont val="Tahoma"/>
            <family val="2"/>
          </rPr>
          <t xml:space="preserve">
CARGO DE JAIRO VELASQUEZ CHICAIZA QUIEN PASO A PASTO DESDE 05/05/26.</t>
        </r>
      </text>
    </comment>
    <comment ref="C576" authorId="0" shapeId="0" xr:uid="{88A26AC1-D843-45C4-AA48-70FFDE79ECDE}">
      <text>
        <r>
          <rPr>
            <b/>
            <sz val="9"/>
            <color indexed="81"/>
            <rFont val="Tahoma"/>
            <family val="2"/>
          </rPr>
          <t>Yamir Adrian Gomez:</t>
        </r>
        <r>
          <rPr>
            <sz val="9"/>
            <color indexed="81"/>
            <rFont val="Tahoma"/>
            <family val="2"/>
          </rPr>
          <t xml:space="preserve">
cargo de gonzales que fallecio. ASCENSO A PARTIR DEL 01/01/26</t>
        </r>
      </text>
    </comment>
    <comment ref="C579" authorId="0" shapeId="0" xr:uid="{C2FCFE7A-435C-430D-9821-D9B590AC0AE6}">
      <text>
        <r>
          <rPr>
            <b/>
            <sz val="9"/>
            <color indexed="81"/>
            <rFont val="Tahoma"/>
            <family val="2"/>
          </rPr>
          <t>Yamir Adrian Gomez:</t>
        </r>
        <r>
          <rPr>
            <sz val="9"/>
            <color indexed="81"/>
            <rFont val="Tahoma"/>
            <family val="2"/>
          </rPr>
          <t xml:space="preserve">
cargo de casanova quien fallecio. Com funcioens a partri de junio 2022. ASCENSO A PARTIR DEL 01/01/26</t>
        </r>
      </text>
    </comment>
    <comment ref="C581" authorId="0" shapeId="0" xr:uid="{4DA6600E-AB30-4D28-B07A-BF8F3A150323}">
      <text>
        <r>
          <rPr>
            <b/>
            <sz val="9"/>
            <color indexed="81"/>
            <rFont val="Tahoma"/>
            <family val="2"/>
          </rPr>
          <t>Yamir Adrian Gomez:</t>
        </r>
        <r>
          <rPr>
            <sz val="9"/>
            <color indexed="81"/>
            <rFont val="Tahoma"/>
            <family val="2"/>
          </rPr>
          <t xml:space="preserve">
CARGO DE MANUEL MONTUFAR QUIEN RENUNCIO A PARTIR DEL 01/09/26.</t>
        </r>
      </text>
    </comment>
    <comment ref="C582" authorId="0" shapeId="0" xr:uid="{2AC15C03-7876-4F84-BC08-6D6DE3C46DAC}">
      <text>
        <r>
          <rPr>
            <b/>
            <sz val="9"/>
            <color indexed="81"/>
            <rFont val="Tahoma"/>
            <family val="2"/>
          </rPr>
          <t>Yamir Adrian Gomez:</t>
        </r>
        <r>
          <rPr>
            <sz val="9"/>
            <color indexed="81"/>
            <rFont val="Tahoma"/>
            <family val="2"/>
          </rPr>
          <t xml:space="preserve">
Cargo de Dario quiñones ponce quien renuncio a partir del 01/08/25.</t>
        </r>
      </text>
    </comment>
    <comment ref="C586" authorId="0" shapeId="0" xr:uid="{285C18A3-C593-4B9C-BDF3-534A42F087C0}">
      <text>
        <r>
          <rPr>
            <b/>
            <sz val="9"/>
            <color indexed="81"/>
            <rFont val="Tahoma"/>
            <family val="2"/>
          </rPr>
          <t>Yamir Adrian Gomez:</t>
        </r>
        <r>
          <rPr>
            <sz val="9"/>
            <color indexed="81"/>
            <rFont val="Tahoma"/>
            <family val="2"/>
          </rPr>
          <t xml:space="preserve">
CARGO DE FAVIO ENRIQUE QUIEN PASO A OPERAD SUBES</t>
        </r>
      </text>
    </comment>
    <comment ref="C588" authorId="0" shapeId="0" xr:uid="{F8703D62-FA41-416A-B4E3-C0E8E879E415}">
      <text>
        <r>
          <rPr>
            <b/>
            <sz val="9"/>
            <color indexed="81"/>
            <rFont val="Tahoma"/>
            <family val="2"/>
          </rPr>
          <t>Yamir Adrian Gomez:</t>
        </r>
        <r>
          <rPr>
            <sz val="9"/>
            <color indexed="81"/>
            <rFont val="Tahoma"/>
            <family val="2"/>
          </rPr>
          <t xml:space="preserve">
CARGO DE JOAMER</t>
        </r>
      </text>
    </comment>
    <comment ref="D605" authorId="1" shapeId="0" xr:uid="{DE5F6479-1D94-4BC4-A4B5-1D5E2C6EAA9C}">
      <text>
        <r>
          <rPr>
            <b/>
            <sz val="9"/>
            <color indexed="81"/>
            <rFont val="Tahoma"/>
            <family val="2"/>
          </rPr>
          <t>YAMIR GOMEZ:</t>
        </r>
        <r>
          <rPr>
            <sz val="9"/>
            <color indexed="81"/>
            <rFont val="Tahoma"/>
            <family val="2"/>
          </rPr>
          <t xml:space="preserve">
A OCTUBRE DE 2025.</t>
        </r>
      </text>
    </comment>
  </commentList>
</comments>
</file>

<file path=xl/sharedStrings.xml><?xml version="1.0" encoding="utf-8"?>
<sst xmlns="http://schemas.openxmlformats.org/spreadsheetml/2006/main" count="3647" uniqueCount="1128">
  <si>
    <t>CENTRALES ELECTRICAS DE NARIÑO S.A E.S.P</t>
  </si>
  <si>
    <t>DIVISION ADMINSTRATIVA</t>
  </si>
  <si>
    <t xml:space="preserve"> </t>
  </si>
  <si>
    <t>PLANTA PERSONAL - TERMNO INDEFINIDO Y FIJO</t>
  </si>
  <si>
    <t>NIT. 891,200,200-8</t>
  </si>
  <si>
    <t>C_CAR</t>
  </si>
  <si>
    <t>CEDULA</t>
  </si>
  <si>
    <t>NOMBRE</t>
  </si>
  <si>
    <t>CARGO</t>
  </si>
  <si>
    <t>AREA</t>
  </si>
  <si>
    <t>NOVEDAD</t>
  </si>
  <si>
    <t>SALARIO 2026</t>
  </si>
  <si>
    <t>F_INGRESO</t>
  </si>
  <si>
    <t>F_VEN</t>
  </si>
  <si>
    <t>F-NACIMIENTO</t>
  </si>
  <si>
    <t>EDAD</t>
  </si>
  <si>
    <t>T_SERV</t>
  </si>
  <si>
    <t>C_NOM</t>
  </si>
  <si>
    <t>T_CONTRATO</t>
  </si>
  <si>
    <t>C_COS</t>
  </si>
  <si>
    <t>T_ACT</t>
  </si>
  <si>
    <t>SEXO</t>
  </si>
  <si>
    <t>LOC_EMPL</t>
  </si>
  <si>
    <t>ESTUDIO</t>
  </si>
  <si>
    <t>COD_NIVEL</t>
  </si>
  <si>
    <t>00005</t>
  </si>
  <si>
    <t>13011411</t>
  </si>
  <si>
    <t>ACOSTA REVELO PEDRO VICENTE ARTURO</t>
  </si>
  <si>
    <t>GERENTE GENERAL</t>
  </si>
  <si>
    <t>GERENCIA GENERAL</t>
  </si>
  <si>
    <t>M</t>
  </si>
  <si>
    <t>00032</t>
  </si>
  <si>
    <t>BENAVIDES CAICEDO KAREN DAYANA</t>
  </si>
  <si>
    <t>SECRETARIA  EJECUTIVA</t>
  </si>
  <si>
    <t>2_N</t>
  </si>
  <si>
    <t>F</t>
  </si>
  <si>
    <t>00062</t>
  </si>
  <si>
    <t>LOPEZ CEBALLOS JOSE LUIS</t>
  </si>
  <si>
    <t xml:space="preserve">AUXILIAR I </t>
  </si>
  <si>
    <t>ENC DESDE 01/08/26. TRASL DE CLEINTES A GERENCIA  GENERAL</t>
  </si>
  <si>
    <t>00021</t>
  </si>
  <si>
    <t>ACOSTA HUERTAS JESUS IGNACIO</t>
  </si>
  <si>
    <t>JEFE OFICINA</t>
  </si>
  <si>
    <t>OFICINA DE CONTROL INTERNO</t>
  </si>
  <si>
    <t>ENCARGO</t>
  </si>
  <si>
    <t>00026</t>
  </si>
  <si>
    <t>27281120</t>
  </si>
  <si>
    <t>LEDEZMA ALVEAR CARMEN YOLANDA</t>
  </si>
  <si>
    <t xml:space="preserve">PROFESIONAL UNIVERSITARIO I </t>
  </si>
  <si>
    <t>QUIÑONEZ LUIS ROBERTO</t>
  </si>
  <si>
    <t>Traslado de cartera desde 20/03/26.</t>
  </si>
  <si>
    <t>00074</t>
  </si>
  <si>
    <t>QUIROZ JIMENEZ DARIO FERNANDO</t>
  </si>
  <si>
    <t>TECNICO</t>
  </si>
  <si>
    <t>CAD-COM FUNC CONTROL INTERNO</t>
  </si>
  <si>
    <t xml:space="preserve">PIARPUSAN CASTRO HUGO RICARDO </t>
  </si>
  <si>
    <t>00130</t>
  </si>
  <si>
    <t>ORTIZ GOMEZ OSCAR EFREN</t>
  </si>
  <si>
    <t xml:space="preserve">INSTALADOR LECTOR </t>
  </si>
  <si>
    <t>FUN ADMINS</t>
  </si>
  <si>
    <t>HERNADEZ MUESES TANIA ALICIA</t>
  </si>
  <si>
    <t>AUXILIAR I</t>
  </si>
  <si>
    <t>00033</t>
  </si>
  <si>
    <t>ROSAS MORALES AILEN DAHJANI</t>
  </si>
  <si>
    <t>SECRETARIA I</t>
  </si>
  <si>
    <t>ANDRADE VILLOTA XIMENA OLIMPIA</t>
  </si>
  <si>
    <t>OFICINA DE PLANEACION Y SISTEMAS</t>
  </si>
  <si>
    <t>00024</t>
  </si>
  <si>
    <t>DAVILA ACOSTA EDGAR EDUARDO</t>
  </si>
  <si>
    <t>PROFESIONAL ESPECIALIZADO</t>
  </si>
  <si>
    <t>12994253</t>
  </si>
  <si>
    <t>GOMEZ MARTINEZ ALEJANDRO RUBEN</t>
  </si>
  <si>
    <t>ENCARGO - PS</t>
  </si>
  <si>
    <t>12987564</t>
  </si>
  <si>
    <t>RODRIGUEZ NARVAEZ GERARDO RAMON</t>
  </si>
  <si>
    <t>PROFESIONAL UNIVERSITARIO I</t>
  </si>
  <si>
    <t>PERAFAN NOGUERA ANA MARYELY</t>
  </si>
  <si>
    <t>00087</t>
  </si>
  <si>
    <t>INSUASTY INSUASTY EDUARD BALLARDO</t>
  </si>
  <si>
    <t>TECNICO III</t>
  </si>
  <si>
    <t xml:space="preserve">DELGADO SOLARTE FLORIA ELIZABETH </t>
  </si>
  <si>
    <t>ENCARGO DESDE 01/08/26</t>
  </si>
  <si>
    <t>VILLOTA ERASO ANDRES</t>
  </si>
  <si>
    <t>OFICINA JURIDICA</t>
  </si>
  <si>
    <t>MORENO CORAL CLAUDIA XIMENA</t>
  </si>
  <si>
    <t>ROSERO IBARRA ANGELA PATRICIA</t>
  </si>
  <si>
    <t>00020</t>
  </si>
  <si>
    <t>30746833</t>
  </si>
  <si>
    <t>GOMEZ RIVERA MONICA MARIA</t>
  </si>
  <si>
    <t>SUBGERENTE ADMINISTRATIVO Y FINANCIERO</t>
  </si>
  <si>
    <t>SUBGERENCIA ADMINISTRATIVA Y FINANCIERA</t>
  </si>
  <si>
    <t>12983044</t>
  </si>
  <si>
    <t>LASSO BOLAÑOS OSCAR ORLANDO</t>
  </si>
  <si>
    <t>SUBGERENCIA ADMINISTRATIVA Y FINANCIERA - TESORERIA</t>
  </si>
  <si>
    <t>ROSERO SANTACRUZ JAIRO BERNARDO</t>
  </si>
  <si>
    <t>SUBGERENCIA ADMINISTRATIVA Y FINANCIERA - SIFF</t>
  </si>
  <si>
    <t>27098100</t>
  </si>
  <si>
    <t>SALCEDO GRANDA HORTENCIA</t>
  </si>
  <si>
    <t>SUBGERENCIA ADMINISTRATIVA Y FINANCIERA - CONTABILIDAD</t>
  </si>
  <si>
    <t>ENCARGO - CONTADOR</t>
  </si>
  <si>
    <t>ORDOÑEZ GUZMAN PAOLA GIOBANNA</t>
  </si>
  <si>
    <t>SUBGERENCIA ADMINISTRATIVA Y FINANCIERA - PRESUPUESTO</t>
  </si>
  <si>
    <t>98196126</t>
  </si>
  <si>
    <t>VALDEZ GOMEZ JUAN ALEXANDER</t>
  </si>
  <si>
    <t>SUBGERENCIA ADMINISTRATIVA Y FINANCIERA - COSTOS ABC</t>
  </si>
  <si>
    <t>BURBANO MORALES ANA CARLINA</t>
  </si>
  <si>
    <t>98347790</t>
  </si>
  <si>
    <t>ACOSTA ALMEIDA AICARDO</t>
  </si>
  <si>
    <t>SUBGERENCIA ADMINISTRATIVA Y FINANCIERA - RECAUDOS</t>
  </si>
  <si>
    <t>LARA  QUIROZ MARICELA ALEXANDRA</t>
  </si>
  <si>
    <t>MEJIA LOZA ANDREA CAMILA</t>
  </si>
  <si>
    <t>SUBGERENCIA ADMINISTRATIVA Y FINANCIERA - CUENTAS POR PAGAR</t>
  </si>
  <si>
    <t>VILLOTA MORA DISMAR ARBEY</t>
  </si>
  <si>
    <t>HERNADENZ REYES CARMEN IRENE</t>
  </si>
  <si>
    <t>GAON ERIRA MARLY YASMIN</t>
  </si>
  <si>
    <t>00063</t>
  </si>
  <si>
    <t>DELGADO BENAVIDES JOSE AUGUSTO</t>
  </si>
  <si>
    <t>AUXILIAR II</t>
  </si>
  <si>
    <t>OF DE PERSONAL-COM FUNC RECAUDOS</t>
  </si>
  <si>
    <t>VITERI LOPEZ RODRIGO ALEXANDER</t>
  </si>
  <si>
    <t>ARTEAGA GUERRERO FABIO ANDRES</t>
  </si>
  <si>
    <t>MOLINA BOLAÑOS IVAN DARIO</t>
  </si>
  <si>
    <t xml:space="preserve">AUXILIAR II </t>
  </si>
  <si>
    <t>COAJI MUÑOZ MANUEL ALEXANDER</t>
  </si>
  <si>
    <t>00064</t>
  </si>
  <si>
    <t>YANDUM CHALACA DARWIN ALBEIRO</t>
  </si>
  <si>
    <t>AUXILIAR III</t>
  </si>
  <si>
    <t>ARTEAGA DAVILA MAIRA PATRICIA</t>
  </si>
  <si>
    <t>TRASLADO DE PEROSNAL A CONTABILIDAD</t>
  </si>
  <si>
    <t>OBANDO SOLARTE JOSE MANUEL</t>
  </si>
  <si>
    <t>CUARAN LOPEZ DADMAR PATRICIA</t>
  </si>
  <si>
    <t>PORTILLA JURADO ELIANA JIMENA</t>
  </si>
  <si>
    <t xml:space="preserve">AUXILIAR III </t>
  </si>
  <si>
    <t>VACANTE</t>
  </si>
  <si>
    <t>00080</t>
  </si>
  <si>
    <t>12985671</t>
  </si>
  <si>
    <t>HIDALGO SOLARTE FREDY ORLANDO</t>
  </si>
  <si>
    <t xml:space="preserve">TECNICO I </t>
  </si>
  <si>
    <t>ENCARGO - CARTERA-COM FUNC RECAUDOS</t>
  </si>
  <si>
    <t>00085</t>
  </si>
  <si>
    <t>MONTENEGRO CACIEDO SANDRA ELIZABETH (E )</t>
  </si>
  <si>
    <t>TECNICO II</t>
  </si>
  <si>
    <t>ENCARGO - CUENTAS X PAGAR - COM FUN CONTAB</t>
  </si>
  <si>
    <t>27156672</t>
  </si>
  <si>
    <t>LOPEZ CARLOSAMA DORIS DEL CARMEN</t>
  </si>
  <si>
    <t>ROSALES NARVAEZ EDILMA FABIOLA</t>
  </si>
  <si>
    <t>ENCARGO - RECAU - COM FUNC PRESUPUES</t>
  </si>
  <si>
    <t>CORAL  CHAMORRO ANA LUCIA</t>
  </si>
  <si>
    <t xml:space="preserve">TECNICO III </t>
  </si>
  <si>
    <t>00034</t>
  </si>
  <si>
    <t>BASTIDAS AYALA LUCY BEIBI</t>
  </si>
  <si>
    <t>SECRETARIA II</t>
  </si>
  <si>
    <t>ENCARGO - TRASLADO TESORERIA DESDE 01/07/26</t>
  </si>
  <si>
    <t>00036</t>
  </si>
  <si>
    <t>CUMBAL GOYES LISBETH CAROLINA</t>
  </si>
  <si>
    <t xml:space="preserve">SECRETARIA III </t>
  </si>
  <si>
    <t>FIGUEROA EVELYN CATALINA</t>
  </si>
  <si>
    <t xml:space="preserve">SECRETARIA I </t>
  </si>
  <si>
    <t>00180</t>
  </si>
  <si>
    <t>VACANTE - SIN OCUPAR</t>
  </si>
  <si>
    <t>OBRERO</t>
  </si>
  <si>
    <t>CARGO DE IVAN MOLINA - tesoreria</t>
  </si>
  <si>
    <t>00023</t>
  </si>
  <si>
    <t>12994937</t>
  </si>
  <si>
    <t>JURADO NARVAEZ ALVARO FERNANDO</t>
  </si>
  <si>
    <t>JEFE DIVISION</t>
  </si>
  <si>
    <t>DIVISION ADMINISTRATIVA</t>
  </si>
  <si>
    <t>ENC DESDE 01/08/2026</t>
  </si>
  <si>
    <t>30744193</t>
  </si>
  <si>
    <t>BASTIDAS ENRIQUEZ LAURA PATRICIA</t>
  </si>
  <si>
    <t>DIVISION ADMINISTRATIVA - PERSONAL</t>
  </si>
  <si>
    <t>COM FUNC OF PERSONAL - ENCARGO</t>
  </si>
  <si>
    <t>CAICEDO MORAN JOHANA KATHERINE</t>
  </si>
  <si>
    <t>DIVISION ADMINISTRATIVA - SEGURIDAD INDUSTRIAL</t>
  </si>
  <si>
    <t>ENC DESDE 01/08/26</t>
  </si>
  <si>
    <t>12995606</t>
  </si>
  <si>
    <t>LEITON CERON OLQUER YONY</t>
  </si>
  <si>
    <t>DIVISION ADMINISTRATIVA - ALMACEN</t>
  </si>
  <si>
    <t>URBINA RODRIGUEZ CHRISTIAN CAMILO</t>
  </si>
  <si>
    <t>DIVISION ADMINISTRATIVA - SERV ADMIN</t>
  </si>
  <si>
    <t>59823263</t>
  </si>
  <si>
    <t>DELGADO GAVIRIA ELSA PATRICIA</t>
  </si>
  <si>
    <t>DIVISION ADMINISTRATIVA - SST</t>
  </si>
  <si>
    <t>GOMEZ MUÑOZ YAMIR ADRIAN</t>
  </si>
  <si>
    <t>ENCARGO - PERIDAS - COM FUNC DIV ADMINI</t>
  </si>
  <si>
    <t>00028</t>
  </si>
  <si>
    <t>12978148</t>
  </si>
  <si>
    <t>DAVILA BENAVIDES RICARDO OSWALDO</t>
  </si>
  <si>
    <t xml:space="preserve">PROFESIONAL UNIVERSITARIO II </t>
  </si>
  <si>
    <t>ENCARGO - OF PERSONA - COM FUNC SST</t>
  </si>
  <si>
    <t>MORENO MELO JAIME ORMIDAS</t>
  </si>
  <si>
    <t>PROFESIONAL UNIVERSITARIO II</t>
  </si>
  <si>
    <t>DIVISION ADMINISTRATIVA - COMPRAS</t>
  </si>
  <si>
    <t>IBARRA CABRERA CAROL ANDREA</t>
  </si>
  <si>
    <t>COM FUNC SST DESDE 04/05/26.</t>
  </si>
  <si>
    <t>CHACON LASSO NICOLAS DAVID</t>
  </si>
  <si>
    <t>98399272</t>
  </si>
  <si>
    <t>GALVEZ CUMBAL JESUS ARMANDO</t>
  </si>
  <si>
    <t>LASSO ROSERO CLARISSA JULIETH</t>
  </si>
  <si>
    <t>30738011</t>
  </si>
  <si>
    <t>REALPE JIMENEZ MARTHA LEONOR</t>
  </si>
  <si>
    <t>BOLAÑOS ORDOÑEZ MARTHA ISABEL</t>
  </si>
  <si>
    <t>MARTHA PARRA-OPER</t>
  </si>
  <si>
    <t>NARVAEZ VALLEJOS DEIMA JOHANNA</t>
  </si>
  <si>
    <t>VACANTE SIN OCUPAR</t>
  </si>
  <si>
    <t>DIVISION ADMINISTRATIVA - CAD</t>
  </si>
  <si>
    <t>CHAMORRO CAICEDO MONICA LILIANA</t>
  </si>
  <si>
    <t>DIVISION ADMINISTRATIVA - COMUNICACIONES</t>
  </si>
  <si>
    <t>BENAVIDES BURBANO DORA ALEJANDRA</t>
  </si>
  <si>
    <t>SAMUEL FELIPE GUERRERO SALAZAR</t>
  </si>
  <si>
    <t>DELGADO FIERRO NARDET ESTEFANIA</t>
  </si>
  <si>
    <t>OPERARIO</t>
  </si>
  <si>
    <t>COM FUNC OF JURIDICA</t>
  </si>
  <si>
    <t>GELPUD GUAQUEZ  DORA BELISA</t>
  </si>
  <si>
    <t>5210477</t>
  </si>
  <si>
    <t>AGREDA BOLAÑOS BYRON EDUARDO</t>
  </si>
  <si>
    <t>59825713</t>
  </si>
  <si>
    <t>GOMEZ LOPEZ MARIA EUGENIA</t>
  </si>
  <si>
    <t xml:space="preserve">TECNICO II </t>
  </si>
  <si>
    <t>ORDOÑEZ GOMEZ REYNEL</t>
  </si>
  <si>
    <t>00088</t>
  </si>
  <si>
    <t>DUEÑAS BENAVIDES KARINA ASTRID</t>
  </si>
  <si>
    <t xml:space="preserve">TECNICO IV </t>
  </si>
  <si>
    <t>LOPEZ ALVAREZ SANDRA LILIANA</t>
  </si>
  <si>
    <t>GUERRA CABRERA ANA LISETH</t>
  </si>
  <si>
    <t>SECRETARIA III</t>
  </si>
  <si>
    <t>CABRERA SANTANDER LIZANA ELIZABETH</t>
  </si>
  <si>
    <t>TRASLADO TRANS ENERGETICA. ENC DESDE 13/08/2026</t>
  </si>
  <si>
    <t>RIVERA REVELO ANITA DEL SOCORRO</t>
  </si>
  <si>
    <t>MEJIA DIAZ PAOLA ANDREA</t>
  </si>
  <si>
    <t>ALVAREZ MENESES RAY MAURICIO</t>
  </si>
  <si>
    <t>BELALCAZAR ROSAS FANNY ELIZABETH</t>
  </si>
  <si>
    <t>BURBANO MORA ANGIE DANIELA</t>
  </si>
  <si>
    <t>00190</t>
  </si>
  <si>
    <t>SOLARTE SOLARTE EDWIN ALEJANDRO</t>
  </si>
  <si>
    <t>AUXILIAR ASEO Y CAFETERIA</t>
  </si>
  <si>
    <t>COM FUNC ALMACEN</t>
  </si>
  <si>
    <t>00170</t>
  </si>
  <si>
    <t>PAZ TORRES JHON JAIRO</t>
  </si>
  <si>
    <t>CONDUCTOR</t>
  </si>
  <si>
    <t>ENC DESDE 22/06/26</t>
  </si>
  <si>
    <t>98332478</t>
  </si>
  <si>
    <t>BURBANO RAMOS EDGAR OMAR</t>
  </si>
  <si>
    <t>ROSERO WILBER ANTONIO</t>
  </si>
  <si>
    <t>VILLOTA CRUZ JULIO CESAR</t>
  </si>
  <si>
    <t>12976392</t>
  </si>
  <si>
    <t>REVELO UNIGARRO MIGUEL ANGEL</t>
  </si>
  <si>
    <t>FLORES FUENMAYOR IVAN DARIO</t>
  </si>
  <si>
    <t xml:space="preserve">CONDUCTOR </t>
  </si>
  <si>
    <t>COM CAD</t>
  </si>
  <si>
    <t>98370949</t>
  </si>
  <si>
    <t>OVIEDO ROMO JOSE LUIS</t>
  </si>
  <si>
    <t>12989467</t>
  </si>
  <si>
    <t>TORRES BURBANO GERMAN FRANCO</t>
  </si>
  <si>
    <t>PAREDES JOJOA ANGELICA VANESSA</t>
  </si>
  <si>
    <t>COM FUNC GESTION CLIENTES</t>
  </si>
  <si>
    <t>TORO VIVAS MARTIN WALDO</t>
  </si>
  <si>
    <t>VACANNTE</t>
  </si>
  <si>
    <t>ARTURO IDROBO JONATHAN</t>
  </si>
  <si>
    <t>ARCINIEGAS TELLO  FERNEY</t>
  </si>
  <si>
    <t>MARTINEZ PATIÑO CARLOS ALFREDO</t>
  </si>
  <si>
    <t>MUÑOZ ROSERO EDWIN MAURICIO</t>
  </si>
  <si>
    <t>12990118</t>
  </si>
  <si>
    <t>PAZ LUNA LUIS  ALFREDO</t>
  </si>
  <si>
    <t>00140</t>
  </si>
  <si>
    <t>12986713</t>
  </si>
  <si>
    <t>URBINA CHAVES PABLO EMILIO</t>
  </si>
  <si>
    <t>OPERADOR SUBESTACION</t>
  </si>
  <si>
    <t>COM FUNC SST DESDE 01/08/2026</t>
  </si>
  <si>
    <t>MORENO FERNANDEZ ANGIE KATHERINE</t>
  </si>
  <si>
    <t xml:space="preserve">OBRERO </t>
  </si>
  <si>
    <t>VACANTE - ESCALERA</t>
  </si>
  <si>
    <t>CABRERA ORDOÑEZ ADRIAN ANTONIO</t>
  </si>
  <si>
    <t>ORTEGA VALLEJOS LINA MARIA</t>
  </si>
  <si>
    <t>SAENZ ORDOÑEZ  PAVEL ADJAMIR</t>
  </si>
  <si>
    <t>INSTALADOR LECTOR</t>
  </si>
  <si>
    <t>CT - COM FUNC SERV ADMIN</t>
  </si>
  <si>
    <t>00120</t>
  </si>
  <si>
    <t>CARDENAS HIDALGO ALEX FERNANDO</t>
  </si>
  <si>
    <t xml:space="preserve">OPERARIO </t>
  </si>
  <si>
    <t>MAYA LOPEZ TERESA DE JESUS</t>
  </si>
  <si>
    <t xml:space="preserve">OPERARIO  </t>
  </si>
  <si>
    <t>AGREDA MUÑOZ JAIRO EDMUNDO</t>
  </si>
  <si>
    <t>12992827</t>
  </si>
  <si>
    <t>BETANCOURTH REALPE EDGAR HUMBERTO</t>
  </si>
  <si>
    <t>CT - COM CAD</t>
  </si>
  <si>
    <t>00111</t>
  </si>
  <si>
    <t>MARTINEZ BOLAÑOS OSCAR  JAVIER</t>
  </si>
  <si>
    <t xml:space="preserve">LINIERO II </t>
  </si>
  <si>
    <t>CARDO DE DIV OPERA- REDES- COM CAD</t>
  </si>
  <si>
    <t>12986970</t>
  </si>
  <si>
    <t>LOPEZ SALAZAR IVAN EDMUNDO</t>
  </si>
  <si>
    <t>SUBGERENTE GESTION ENERGETICA</t>
  </si>
  <si>
    <t>SUBGERENCIA GESTION ENERGETICA</t>
  </si>
  <si>
    <t>27302969</t>
  </si>
  <si>
    <t>MELO BRAVO ROSA ADALIZA</t>
  </si>
  <si>
    <t>SUBGERENCIA DISTRIBUCION Y GENERACION</t>
  </si>
  <si>
    <t>79301790</t>
  </si>
  <si>
    <t>GUZMAN AREVALO JOSE JULIO</t>
  </si>
  <si>
    <t>SUBGERENCIA DISTRIBUCION Y GENERACION - DIVISION DE OPERACIONES</t>
  </si>
  <si>
    <t xml:space="preserve">LUCERO REVELO JORGE RAUL </t>
  </si>
  <si>
    <t>SUBGERENCIA DISTRIBUCION Y GENERACION - DIVISION DE OPERACIONES - CLC</t>
  </si>
  <si>
    <t>PAREDES DIAZ MILTON FERNANDO</t>
  </si>
  <si>
    <t>SUBGERENCIA DISTRIBUCION Y GENERACION - DIVISION DE OPERACIONES - MANTENIMIENTO</t>
  </si>
  <si>
    <t>12992440</t>
  </si>
  <si>
    <t>HORMAZA ENRIQUEZ CARLOS ARTURO</t>
  </si>
  <si>
    <t>SOLARTE RIASCOS LUIS EDUARDO</t>
  </si>
  <si>
    <t>SUBGERENCIA DISTRIBUCION Y GENERACION - DIVISION DE OPERACIONES - REDES</t>
  </si>
  <si>
    <t>ENC DESDE 05/08/26</t>
  </si>
  <si>
    <t>BASTIDAS ANDRADE DANNY JAVIER</t>
  </si>
  <si>
    <t>SUBGERENCIA DISTRIBUCION Y GENERACION - DIVISION DE OPERACIONES - INFORMACION</t>
  </si>
  <si>
    <t>ENC DESDE 03/08/26.</t>
  </si>
  <si>
    <t>PEREZ PORTILLA HENRY MARCELO</t>
  </si>
  <si>
    <t>SUBGERENCIA DISTRIBUCION Y GENERACION - DIVISION DE OPERACIONES - DISEÑO</t>
  </si>
  <si>
    <t>TRASLADO DE REDES A DISEÑO DESDE 03/08/26</t>
  </si>
  <si>
    <t>LOPEZ JAIME ARTURO</t>
  </si>
  <si>
    <t>BEDOYA ENRIQUEZ DANNY GONZALO</t>
  </si>
  <si>
    <t>98386291</t>
  </si>
  <si>
    <t>AZAHIN ORTIZ MARIO ANYER</t>
  </si>
  <si>
    <t>98387663</t>
  </si>
  <si>
    <t>RODRIGUEZ VELEZ JOSE LUIS</t>
  </si>
  <si>
    <t>ORTIZ ROJAS JAIRO ALEXANDER</t>
  </si>
  <si>
    <t>ENC DESDE 05/08/2026</t>
  </si>
  <si>
    <t>CAICEDO CAICEDO JAIRO RENE</t>
  </si>
  <si>
    <t>SUBGERENCIA DISTRIBUCION Y GENERACION - DIVISION DE OPERACIONES - SPARD</t>
  </si>
  <si>
    <t>VILLOTA MORALEA TOMAS ARBEY</t>
  </si>
  <si>
    <t>GORDON AGUIRRE OMAR ANDRES</t>
  </si>
  <si>
    <t>MELO VIVEROS DEYANIRA MARGOTH</t>
  </si>
  <si>
    <t xml:space="preserve">AUXILIAR I  </t>
  </si>
  <si>
    <t>TRASLADO DE COMPRAS</t>
  </si>
  <si>
    <t>CHAMORRO BENAVIDES SONIA YANETH</t>
  </si>
  <si>
    <t>00110</t>
  </si>
  <si>
    <t>ROSERO CAIPE DIEGO ARMANDO</t>
  </si>
  <si>
    <t xml:space="preserve">LINIERO I </t>
  </si>
  <si>
    <t>NOPAN MORA CARLOS HUMBERTO</t>
  </si>
  <si>
    <t xml:space="preserve">MUÑOZ LOPEZ DAVID GUILLERMO </t>
  </si>
  <si>
    <t>GRIJALBA HOYOS ERWIN YESSID</t>
  </si>
  <si>
    <t>13074016</t>
  </si>
  <si>
    <t>BENAVIDES CAICEDO HAROLD HERNANDO</t>
  </si>
  <si>
    <t>SUBGERENCIA DISTRIBUCION Y GENERACION - DIVISION DE OPERACIONES - TALLER INDUS</t>
  </si>
  <si>
    <t>MARTINEZ ROJAS JULIO MARCIAL</t>
  </si>
  <si>
    <t>71783469</t>
  </si>
  <si>
    <t>GUZMAN PAZ SEGUNDO WILLIAM</t>
  </si>
  <si>
    <t>GOMEZ NOGUERA CESAR ARTURO</t>
  </si>
  <si>
    <t>HAMER ANDRES CORDOBA PEREZ</t>
  </si>
  <si>
    <t>SUBGERENCIA DISTRIBUCION Y GENERACION - DIVISION DE OPERACIONES - TCS</t>
  </si>
  <si>
    <t>Cargo de Wilson Siverman</t>
  </si>
  <si>
    <t>JAMID BACHIR ORTIZ ROJAS</t>
  </si>
  <si>
    <t>FUNCIONES ADMINISTRATIVA</t>
  </si>
  <si>
    <t>12990216</t>
  </si>
  <si>
    <t>CHAPAL JARAMILLO JAIME ORLANDO</t>
  </si>
  <si>
    <t>CRIOLLO CRIOLLO DIEGO MAURICIO</t>
  </si>
  <si>
    <t>MARTINEZ PAZ SERVIO TULIO</t>
  </si>
  <si>
    <t>LINIERO I</t>
  </si>
  <si>
    <t>CAICEDO CAICEDO EDWIN ORLANDO</t>
  </si>
  <si>
    <t>GUZMAN PAZ JAIRO OVIDIO</t>
  </si>
  <si>
    <t>DIAZ BALVUENA OSCAR RODOLFO</t>
  </si>
  <si>
    <t>BURBANO ARMERO LUIS ANGEL</t>
  </si>
  <si>
    <t>RUIZ MADRIGALES WILLIAM EDUARDO</t>
  </si>
  <si>
    <t>CHAVES GARCIA CARLOS EDUARDO</t>
  </si>
  <si>
    <t>ERAZO ALVAREZ FAVIO ANDRES</t>
  </si>
  <si>
    <t>GUALGUAN VASQUEZ JHON ALEXANDER</t>
  </si>
  <si>
    <t>BUCHELI RODRIGUEZ MARIO JAVIER</t>
  </si>
  <si>
    <t>BURBANO SUAREZ CARLOS ANDRES</t>
  </si>
  <si>
    <t>ACOSTA ERAZO RODRIGO ALDEMAR</t>
  </si>
  <si>
    <t>LINIERO II</t>
  </si>
  <si>
    <t>TONGUINO TAIMBUD EDIXON DAVID</t>
  </si>
  <si>
    <t>GELPUD MALLAMA ROBERT EMILIO</t>
  </si>
  <si>
    <t>ORTEGA ALVARADO DANNY</t>
  </si>
  <si>
    <t>PIANDA VILLOTA WILLIAM GONZALO</t>
  </si>
  <si>
    <t>ERASO IMBACHI LAURA CRISTINA</t>
  </si>
  <si>
    <t>JOJOA ARIAS LEIVY JOHANNA</t>
  </si>
  <si>
    <t>ALAVA ORTIZ GERARDO EFRAIN</t>
  </si>
  <si>
    <t xml:space="preserve">TECNICO </t>
  </si>
  <si>
    <t>COM DIV OPER-INST ELECTRICAS</t>
  </si>
  <si>
    <t>LUNA CHAVEZ OWEIMAR DAVID</t>
  </si>
  <si>
    <t>TRASLADO DE REDES</t>
  </si>
  <si>
    <t>12984188</t>
  </si>
  <si>
    <t>CEBALLOS VALENCIA JAIME HORACIO</t>
  </si>
  <si>
    <t>87247958</t>
  </si>
  <si>
    <t>BOLAÑOS ALVEAR HUBER SAULO</t>
  </si>
  <si>
    <t>87026952</t>
  </si>
  <si>
    <t xml:space="preserve">LOPEZ MUÑOZ JESUS ASDRUBAL </t>
  </si>
  <si>
    <t>BEDOYA ENRIQUEZ JUAN PABLO</t>
  </si>
  <si>
    <t>12987836</t>
  </si>
  <si>
    <t>MONTENEGRO TORRES HUGO EDUARDO</t>
  </si>
  <si>
    <t xml:space="preserve">ONOFRE BENAVIDES RAUL ARMANDO </t>
  </si>
  <si>
    <t>12986239</t>
  </si>
  <si>
    <t>ROSAS ESTRADA JESUS IGNACIO</t>
  </si>
  <si>
    <t>12993266</t>
  </si>
  <si>
    <t>FLOREZ IBARRA WILLIAM OMAR</t>
  </si>
  <si>
    <t>FAJARDO CHILAMA JAIRO ARMANDO</t>
  </si>
  <si>
    <t>98339934</t>
  </si>
  <si>
    <t>DIAZ CASANOVA ALVARO FABIAN</t>
  </si>
  <si>
    <t>TALLER TRASNFORMADOR</t>
  </si>
  <si>
    <t>VELASCO PANTOJA JAIRO ANDRES</t>
  </si>
  <si>
    <t>12747075</t>
  </si>
  <si>
    <t>MUÑOZ CHAMORRO SIVERMAN WILSON</t>
  </si>
  <si>
    <t>JIMENEZ JIMENEZ OMAR ALBEIRO</t>
  </si>
  <si>
    <t>CERON  BENAVIDES JHONY</t>
  </si>
  <si>
    <t>HOYOS MURILLO MAURICIO ALEJANDRO</t>
  </si>
  <si>
    <t>TECNICO IV</t>
  </si>
  <si>
    <t>PEÑA LEGARDA ENRIQUE ARMANDO</t>
  </si>
  <si>
    <t>RAMIREZ ORTEGA LUIS GABRIEL</t>
  </si>
  <si>
    <t>CT - COM FUNC OPERACIONES</t>
  </si>
  <si>
    <t>CHAVES FIGUEROA DAVID FERNANDO</t>
  </si>
  <si>
    <t>CT - COM FUNC CLC</t>
  </si>
  <si>
    <t>CORDOBA ERAZO PABLO ALIRIO</t>
  </si>
  <si>
    <t>COM FUNC CLC</t>
  </si>
  <si>
    <t>00100</t>
  </si>
  <si>
    <t>PASICHANA YAQUENO LUIS HERNAN</t>
  </si>
  <si>
    <t xml:space="preserve">COORDINADOR GRUPO </t>
  </si>
  <si>
    <t>RIASCOS ESPINOZA JUAN CARLOS</t>
  </si>
  <si>
    <t>12984281</t>
  </si>
  <si>
    <t>GARCIA CORAL JAIME LEINED</t>
  </si>
  <si>
    <t>TORO ERASO CLAUDIO LUIS</t>
  </si>
  <si>
    <t>98388004</t>
  </si>
  <si>
    <t>TORRES CASTRO HENRY</t>
  </si>
  <si>
    <t>98370628</t>
  </si>
  <si>
    <t>ANDRADE RIASCOS GEOVANNY FERNANDO</t>
  </si>
  <si>
    <t>CRIOLLO ROSERO CRISTIAN CAMILO</t>
  </si>
  <si>
    <t>OPERADOR CENTRO LOCAL DE CONTROL</t>
  </si>
  <si>
    <t>ENCARGO DESDE 16/06/2026</t>
  </si>
  <si>
    <t>00141</t>
  </si>
  <si>
    <t>98333575</t>
  </si>
  <si>
    <t>ZAMBRANO DIAZ EZEQUIEL</t>
  </si>
  <si>
    <t>98388967</t>
  </si>
  <si>
    <t>MESIAS ENRIQUEZ GERMAN MAURICIO</t>
  </si>
  <si>
    <t>13071443</t>
  </si>
  <si>
    <t>ROSERO ARMERO MARIO FERNANDO</t>
  </si>
  <si>
    <t>PEREZ QUENGUAN DANNY MANUEL</t>
  </si>
  <si>
    <t>JAMONDINO</t>
  </si>
  <si>
    <t>CANTOR SUAREZ EDGAR FABIAN</t>
  </si>
  <si>
    <t>CATAMBUCO</t>
  </si>
  <si>
    <t>87247662</t>
  </si>
  <si>
    <t>CRUCES MARTINEZ OSCAR AZAEL</t>
  </si>
  <si>
    <t>CATAMBUCO-ASC OPER SUB DESDE 06/05/26.</t>
  </si>
  <si>
    <t>12915362</t>
  </si>
  <si>
    <t>VELASQUEZ CHICAIZA JAIRO JESUS</t>
  </si>
  <si>
    <t>TRASL DE TUMACO A PASTO DESDE 05/05/26.</t>
  </si>
  <si>
    <t xml:space="preserve">BURGOS NARVAEZ YETTI ANDI </t>
  </si>
  <si>
    <t xml:space="preserve">OPERADOR SUBESTACION </t>
  </si>
  <si>
    <t>12985284</t>
  </si>
  <si>
    <t>ERASO IPIALES JHON PAULO</t>
  </si>
  <si>
    <t>ASCENSO A OPER SUB DESDE 06/05/26</t>
  </si>
  <si>
    <t>79046237</t>
  </si>
  <si>
    <t>CAMELO GRANADOS JUAN CARLOS</t>
  </si>
  <si>
    <t>98399210</t>
  </si>
  <si>
    <t>JAMAUCA CARLOSAMA OSCAR EDUARDO</t>
  </si>
  <si>
    <t>87247422</t>
  </si>
  <si>
    <t>BOLAÑOS MUÑOZ HECTOR IVAN</t>
  </si>
  <si>
    <t>GARZON REALPE JUAN SEBASTIAN</t>
  </si>
  <si>
    <t>COM FUNC OFICINA DE SISTEMAS</t>
  </si>
  <si>
    <t>00160</t>
  </si>
  <si>
    <t>REPRESERO</t>
  </si>
  <si>
    <t>HERNANDEZ JURADO YASMIN</t>
  </si>
  <si>
    <t>SUBGERENTE COMERCIAL</t>
  </si>
  <si>
    <t>SUBGERENCIA COMERCIAL</t>
  </si>
  <si>
    <t>SOLARTE GOMEZ LUZ FANNY</t>
  </si>
  <si>
    <t>12975919</t>
  </si>
  <si>
    <t>ORBES FRANCO LUIS ALBERTO</t>
  </si>
  <si>
    <t>TRASL DE PERD DESDE 01/08/26</t>
  </si>
  <si>
    <t>59823338</t>
  </si>
  <si>
    <t>JURADO ROSERO ADRIANA MARIA</t>
  </si>
  <si>
    <t>SUBGERENCIA COMERCIAL - CARTERA Y MERCADEO</t>
  </si>
  <si>
    <t>PEREZ SANCHEZ JESUS ANDRES</t>
  </si>
  <si>
    <t>12994287</t>
  </si>
  <si>
    <t>PEÑA PEREZ MARCOS HENRY</t>
  </si>
  <si>
    <t>Traslado de div perdidas desde 20/03/26</t>
  </si>
  <si>
    <t>59794709</t>
  </si>
  <si>
    <t>SANTANDER JIMENEZ MIRTHA LUCIA</t>
  </si>
  <si>
    <t>ENCARGO - GABRIEL URBINA - PS</t>
  </si>
  <si>
    <t>1080046911</t>
  </si>
  <si>
    <t>URBINA BARRERA DANNY GABRIEL</t>
  </si>
  <si>
    <t>MUÑOZ CAICEDO JAIRO GERMAN</t>
  </si>
  <si>
    <t>PANTOJA MARIO FERNANDO</t>
  </si>
  <si>
    <t>BENAVIDES FREIRE MELISSA ANDREA</t>
  </si>
  <si>
    <t>ENCARGO. COM FUNC CARTERA Y MERCADEO</t>
  </si>
  <si>
    <t>27087820</t>
  </si>
  <si>
    <t>VALLEJO CHASATAR SANDRA JIMENA</t>
  </si>
  <si>
    <t>CEBALLOS PANTOJA MARIA FERNANDA</t>
  </si>
  <si>
    <t>59831337</t>
  </si>
  <si>
    <t>CRIOLLO ZAMBRANO LILIAM JANETH</t>
  </si>
  <si>
    <t>SUBGERENCIA COMERCIAL - FACTURACION</t>
  </si>
  <si>
    <t>12969358</t>
  </si>
  <si>
    <t>MOSQUERA CHAVEZ VICENTE LUIS</t>
  </si>
  <si>
    <t>ANDRADE CERON LIBO JESUS</t>
  </si>
  <si>
    <t>59814544</t>
  </si>
  <si>
    <t>BURBANO RAMOS PIEDAD ISABEL</t>
  </si>
  <si>
    <t>12983791</t>
  </si>
  <si>
    <t xml:space="preserve">LOPEZ CABRERA FRANKLING GUILLERMO </t>
  </si>
  <si>
    <t>NARVAEZ JAVIER ALEJANDRO</t>
  </si>
  <si>
    <t>BANDA BARRERA OSCAR DARIO</t>
  </si>
  <si>
    <t>37120765</t>
  </si>
  <si>
    <t>BURGOS FREYRE ANGELA MARIA</t>
  </si>
  <si>
    <t>ENC DESDE 01/08/26.</t>
  </si>
  <si>
    <t>SUESCUN ALCINA ASTRID DEL SOCORRO</t>
  </si>
  <si>
    <t>PORTILLA MUÑOZ RUBEN DARIO</t>
  </si>
  <si>
    <t>ALVAREZ LOPEZ ELIANA ELIZABETH</t>
  </si>
  <si>
    <t>CORAL PANTOJA NELLY DEL CARMEN</t>
  </si>
  <si>
    <t>CARVAJAL GUERRERO MARIA ALEJANDRA</t>
  </si>
  <si>
    <t>00091</t>
  </si>
  <si>
    <t>OJEDA PINTA JESUS ARMANDO</t>
  </si>
  <si>
    <t>AUXILIAR RECAUDADOR</t>
  </si>
  <si>
    <t>SUBGERENCIA COMERCIAL - FACTURACION - CHACHAGUI</t>
  </si>
  <si>
    <t>SUAREZ URBINA EDWIN ANDRES</t>
  </si>
  <si>
    <t>SUBGERENCIA COMERCIAL - FACTURACION - TANGUA</t>
  </si>
  <si>
    <t>CUAYAL JORGE FRANCISCO</t>
  </si>
  <si>
    <t>SUBGERENCIA COMERCIAL - FACTURACION - YACUANQUER</t>
  </si>
  <si>
    <t>TREJOS OSCAR GEOVABNY</t>
  </si>
  <si>
    <t>SUBGERENCIA COMERCIAL - FACTURACION - ENCANO</t>
  </si>
  <si>
    <t>00090</t>
  </si>
  <si>
    <t>98383266</t>
  </si>
  <si>
    <t>BUESAQUILLO LOPEZ CARLOS EFRAIN</t>
  </si>
  <si>
    <t>RECAUDADOR INSTALADOR</t>
  </si>
  <si>
    <t>12994049</t>
  </si>
  <si>
    <t>CHAPAL JARAMILLO CESAR AUGUSTO</t>
  </si>
  <si>
    <t>12995956</t>
  </si>
  <si>
    <t>GELPUD GELPUD JORGE HOMERO</t>
  </si>
  <si>
    <t>SUBGERENCIA COMERCIAL - FACTURACION - CRUZ AMARILLO</t>
  </si>
  <si>
    <t>98346141</t>
  </si>
  <si>
    <t>CEBALLOS URBINA HERMAN ANDRES</t>
  </si>
  <si>
    <t>CASTILLO PAZ CARLOS EDUARDO</t>
  </si>
  <si>
    <t xml:space="preserve">PEREZ CAMPO ANA BEATRIZ </t>
  </si>
  <si>
    <t>SUBGERENCIA COMERCIAL - GESTION CLIENTES</t>
  </si>
  <si>
    <t>TRANS DE DISTR Y GENER</t>
  </si>
  <si>
    <t>98392213</t>
  </si>
  <si>
    <t>OSCAR FERNANADO NARVAEZ</t>
  </si>
  <si>
    <t>BURBANO VALENCIA JOHANA</t>
  </si>
  <si>
    <t>TECNICO I</t>
  </si>
  <si>
    <t>79566675</t>
  </si>
  <si>
    <t>MERA CORTES WILSON EDMUNDO</t>
  </si>
  <si>
    <t>ROMO VILLAREAL ERIKA SILVANA</t>
  </si>
  <si>
    <t>ARCOS DELGADO GLORIA ZORAIDA</t>
  </si>
  <si>
    <t>LOPEZ SANDRA MARITZA</t>
  </si>
  <si>
    <t>59670799</t>
  </si>
  <si>
    <t>OLIVA JURADO DIANA MILENA</t>
  </si>
  <si>
    <t>TRASLADO</t>
  </si>
  <si>
    <t xml:space="preserve">ALVAREZ CORTES NATALY </t>
  </si>
  <si>
    <t>PAREDES PAREDES YOLANDA YAQUELINE</t>
  </si>
  <si>
    <t>CONTABILIDAD - COM FUNC GESTION LCIENTES</t>
  </si>
  <si>
    <t>ARTEAGA AREVALO JENNY DEL PILAR</t>
  </si>
  <si>
    <t>COM FUNC A PARTIR DEL 04/05/26.</t>
  </si>
  <si>
    <t>OLIVA MONTENEGRO MANUEL ALEJANDRO</t>
  </si>
  <si>
    <t>ENC DESDE 01/08/26. COM FUN OF PERSONAL</t>
  </si>
  <si>
    <t xml:space="preserve">MORENO CASTILLO CLAUDIA </t>
  </si>
  <si>
    <t>CASTILLO SALCEDO SEGUNDO GREGORIO</t>
  </si>
  <si>
    <t>ENCARGO DESDE 19/08/26. COM FUNC ALMACEN</t>
  </si>
  <si>
    <t>BELALCAZAR LOPEZ ANDRES ANTONIO</t>
  </si>
  <si>
    <t>CARGO DE FACTURA-COM FUN GEST CLIEN</t>
  </si>
  <si>
    <t>GONZALES MORA FERNANDO ALFONSO</t>
  </si>
  <si>
    <t>ALMACEN - COM FUNC GESTION CLIENTES</t>
  </si>
  <si>
    <t>98390816</t>
  </si>
  <si>
    <t>URBANO VALENZUELA HERMES HERNANDO</t>
  </si>
  <si>
    <t>BOLAÑOS TORRES DOLORES VIRGINIA</t>
  </si>
  <si>
    <t>TORRES GOMEZ EIDER ORLANDO</t>
  </si>
  <si>
    <t>RIVERA GONZALEZ JUAN CARLOS</t>
  </si>
  <si>
    <t>SUBGERENTE DE DISTRIB Y GENERACION</t>
  </si>
  <si>
    <t>COM FUN TRANSICION ENERGETICA</t>
  </si>
  <si>
    <t>BASTIDAS SANTANDER MARCELA</t>
  </si>
  <si>
    <t>ASCE DESDE 01/08/26</t>
  </si>
  <si>
    <t>12977223</t>
  </si>
  <si>
    <t>MUÑOZ DELGADO EFRAIN</t>
  </si>
  <si>
    <t>SUBGERENCIA GESTION ENERGETICA - DIVISION DE PERDIDAS</t>
  </si>
  <si>
    <t>00022</t>
  </si>
  <si>
    <t>30744800</t>
  </si>
  <si>
    <t>GUTIERREZ GOMEZ MARIA ISABEL</t>
  </si>
  <si>
    <t>JEFE GESTION</t>
  </si>
  <si>
    <t>OFICIAL PROTECCION DE DATOS</t>
  </si>
  <si>
    <t>30741340</t>
  </si>
  <si>
    <t>ARTEAGA AREVALO SANDRA LUCIA</t>
  </si>
  <si>
    <t>ENCARGO - COM FUNC DIV PERDIDAS</t>
  </si>
  <si>
    <t>36751250</t>
  </si>
  <si>
    <t>ACOSTA CORONEL SONIA MARIA</t>
  </si>
  <si>
    <t>59820192</t>
  </si>
  <si>
    <t>CASTILLO ÑAÑEZ JANETH TEODOLINDA</t>
  </si>
  <si>
    <t>CENTRO TECNICO</t>
  </si>
  <si>
    <t>UNIGARRO PORTILLA MYRIAM MABEL</t>
  </si>
  <si>
    <t>PRESUPUESTO - COM FUNC PERDIDAS</t>
  </si>
  <si>
    <t>SOTO HERNANDEZ SEBASTIAN</t>
  </si>
  <si>
    <t>ALMACEN - COM FUNC PERDIDAS</t>
  </si>
  <si>
    <t>PATIÑO MEJIA ANGI DANIELA</t>
  </si>
  <si>
    <t>CONTRATO</t>
  </si>
  <si>
    <t>SOLARTE LASSO JORGE MARTIN</t>
  </si>
  <si>
    <t>CARATAR RIVERA SOANY MARITZA</t>
  </si>
  <si>
    <t>ROSERO VALLEJO LAURA ANGELICA</t>
  </si>
  <si>
    <t>GOMEZ INSUASTI BOLIVAR ALFREDO</t>
  </si>
  <si>
    <t>SUBGERENCIA GESTION ENERGETICA - CENTRO TECNICO</t>
  </si>
  <si>
    <t>27388079</t>
  </si>
  <si>
    <t>SUAREZ BENAVIDES OLGA MARINA</t>
  </si>
  <si>
    <t>12991770</t>
  </si>
  <si>
    <t>BOLAÑOS BURBANO LIBARDO EFRAIN</t>
  </si>
  <si>
    <t>30734021</t>
  </si>
  <si>
    <t>SANCHEZ TORRES JANETH DEL CARMEN</t>
  </si>
  <si>
    <t>27081312</t>
  </si>
  <si>
    <t>FERNANDEZ BERNAL LINA MABEL (E )</t>
  </si>
  <si>
    <t>12983227</t>
  </si>
  <si>
    <t>CARDENAS JARAMILLO OLIMPO NIVALDO</t>
  </si>
  <si>
    <t>87571621</t>
  </si>
  <si>
    <t>MONTERO CABRERA HERIBERTO</t>
  </si>
  <si>
    <t>PALACIOS BERMEO JUAN CARLOS</t>
  </si>
  <si>
    <t>ENCARGO. COM FUNC CENTRO TECNICO</t>
  </si>
  <si>
    <t>27108523</t>
  </si>
  <si>
    <t>MONTENEGRO PORTILLA PATRICIA JOSEFINA</t>
  </si>
  <si>
    <t>COM FUNC CT</t>
  </si>
  <si>
    <t>12983535</t>
  </si>
  <si>
    <t>VASQUEZ BOTINA OMAR EMIRO</t>
  </si>
  <si>
    <t>DAZA OJEDA DAIR ANTONIO</t>
  </si>
  <si>
    <t>PONCE JORGE ALEXANDER</t>
  </si>
  <si>
    <t>87247202</t>
  </si>
  <si>
    <t>BOLAÑOS LEDEZMA OSCAR EDUARDO</t>
  </si>
  <si>
    <t>RODRIGUEZ MORALES EDUARDO ALBERTO</t>
  </si>
  <si>
    <t>MEDINA SUAREZ JAIRO FABIAN</t>
  </si>
  <si>
    <t>12983527</t>
  </si>
  <si>
    <t>GARZON YELA ALBERTO BENITO</t>
  </si>
  <si>
    <t>SINDICATO</t>
  </si>
  <si>
    <t>16265630</t>
  </si>
  <si>
    <t>CHAPID ROSERO HECTOR HUGO</t>
  </si>
  <si>
    <t>URBINA VILLOTA JOSE GABRIEL</t>
  </si>
  <si>
    <t>12974547</t>
  </si>
  <si>
    <t>PAZ PAREDES VICENTE OMAR</t>
  </si>
  <si>
    <t>ZONA SUR - IPIALES</t>
  </si>
  <si>
    <t>37004805</t>
  </si>
  <si>
    <t>OJEDA ROSERO CELINA TERESA</t>
  </si>
  <si>
    <t>13017297</t>
  </si>
  <si>
    <t>SALCEDO VELASCO VICENTE</t>
  </si>
  <si>
    <t>87713564</t>
  </si>
  <si>
    <t>NASTAR CHARFUELAN HENRY NORBERTO</t>
  </si>
  <si>
    <t>87717944</t>
  </si>
  <si>
    <t>ARGOTY OBANDO FRANCISCO JAVIER</t>
  </si>
  <si>
    <t>FACTURACION</t>
  </si>
  <si>
    <t>VILLOTA REINA ALEXIS</t>
  </si>
  <si>
    <t>FONDO ROTATORIO</t>
  </si>
  <si>
    <t>BAUTISTA LOZA SANDRA PATRICIA</t>
  </si>
  <si>
    <t>ENCARGO DESDE 03/08/26.</t>
  </si>
  <si>
    <t>87716604</t>
  </si>
  <si>
    <t>VILLA CORAL JAIRO ANDRES</t>
  </si>
  <si>
    <t>ATENCION AL CLIENTE</t>
  </si>
  <si>
    <t>98363122</t>
  </si>
  <si>
    <t>ROSERO CONTRERAS JOSE GIOVANNY</t>
  </si>
  <si>
    <t>SUBALMACEN</t>
  </si>
  <si>
    <t>CADENA PEREZ DAYANA EVET</t>
  </si>
  <si>
    <t>PINCHAO FUERTES JENNY MARITZA</t>
  </si>
  <si>
    <t>REALPE ROSERO ALBA LUCIA</t>
  </si>
  <si>
    <t>BENAVIDES ACOSTA ELIANA ANDREA</t>
  </si>
  <si>
    <t>RIASCOS SANDOVAL ALVARO ANDRES</t>
  </si>
  <si>
    <t>CARDENAS ACOSTA LEYDY VIVIANA</t>
  </si>
  <si>
    <t>CHAVES TAPIA ANDREA ZULAY</t>
  </si>
  <si>
    <t>87511334</t>
  </si>
  <si>
    <t>CASANOVA MONTENEGRO JUAN ENRIQUE</t>
  </si>
  <si>
    <t xml:space="preserve">RECAUDADOR INSTALADOR </t>
  </si>
  <si>
    <t>ZONA SUR - IPIALES - CUMBAL</t>
  </si>
  <si>
    <t>98392161</t>
  </si>
  <si>
    <t>ROSERO NARVAEZ SERVIO TULIO</t>
  </si>
  <si>
    <t>ZONA SUR - IPIALES  - CONTADERO</t>
  </si>
  <si>
    <t>AGUIRRE CARLOS EDUARDO</t>
  </si>
  <si>
    <t>ZONA SUR - IPIALES - GUACHUCAL</t>
  </si>
  <si>
    <t>ARTEAGA MORAN LUIS FERNANDO</t>
  </si>
  <si>
    <t>ZONA SUR - IPIALES - GUALMATAN</t>
  </si>
  <si>
    <t>REINA REINA FRANKLIN HORACIO</t>
  </si>
  <si>
    <t>ZONA SUR - IPIALES - PUPIALES</t>
  </si>
  <si>
    <t>JATIVA CORAL LUIS ORLANDO</t>
  </si>
  <si>
    <t>MUESES CUASQUER GERSON CAMILO</t>
  </si>
  <si>
    <t>ZONA SUR - IPIALES - CORDOBA</t>
  </si>
  <si>
    <t>ROSERO PORTILLA HENRY ARNULFO</t>
  </si>
  <si>
    <t>ZONA SUR - IPIALES - CHILES</t>
  </si>
  <si>
    <t>BENAVIDES NASTAR GENARO NORBERTO</t>
  </si>
  <si>
    <t>ZONA SUR - IPIALES - PUERRES</t>
  </si>
  <si>
    <t>CHILANGUAD CHILANGUAD NELSON</t>
  </si>
  <si>
    <t>ZONA SUR - IPIALES - ALDANA</t>
  </si>
  <si>
    <t>YANDUM JUAN CARLOS</t>
  </si>
  <si>
    <t>ZONA SUR - IPIALES - LA VICTORIA</t>
  </si>
  <si>
    <t>AUX AYALA OLGER RICHARD</t>
  </si>
  <si>
    <t>ZONA SUR - IPIALES - CARLOSAMA</t>
  </si>
  <si>
    <t>ERASO CASTRO OSCAR LIBARDO</t>
  </si>
  <si>
    <t>ZONA SUR - IPIALES - POTOSI</t>
  </si>
  <si>
    <t>COM FUNC CAD DESDE 06/04/26.</t>
  </si>
  <si>
    <t>BENAVIDES CARDENAS ARMANDO CAMILO</t>
  </si>
  <si>
    <t>ZONA SUR - IPIALES - JOSE M. HERNANDEZ</t>
  </si>
  <si>
    <t>98342029</t>
  </si>
  <si>
    <t>PAREDES JURADO ALVARO HERNANDO</t>
  </si>
  <si>
    <t>GUERRERO NELSON GUILLERMO</t>
  </si>
  <si>
    <t>VILLOTA MEDINA MARIO FERNANDO</t>
  </si>
  <si>
    <t>ZONA SUR - IPIALES - FUNES</t>
  </si>
  <si>
    <t>ROSERO CRIOLLO FERNANDO JHARISTON</t>
  </si>
  <si>
    <t>ZONA SUR - IPIALES - SAN JUAN</t>
  </si>
  <si>
    <t>CHAVES BURGOS RAMIRO EVELIO</t>
  </si>
  <si>
    <t>13012567</t>
  </si>
  <si>
    <t>CHAPID NARVAEZ CARLOS GERMAN</t>
  </si>
  <si>
    <t>COORDINADOR GRUPO</t>
  </si>
  <si>
    <t>13013138</t>
  </si>
  <si>
    <t>TORRES FIERRO HUGO OSWALDO</t>
  </si>
  <si>
    <t>CUASAPUD TOVAR EDISON ARMANDO</t>
  </si>
  <si>
    <t>COM FUNC ATENCION AL CLIENTE</t>
  </si>
  <si>
    <t>13015088</t>
  </si>
  <si>
    <t>HERNANDEZ CHAMORRO LUIS ALIRIO</t>
  </si>
  <si>
    <t>PEÑA BRAVO WILMER EUSEBIO</t>
  </si>
  <si>
    <t>TOBAR ERIRA BRAYAN MARCELO</t>
  </si>
  <si>
    <t>MORALES ELMER HORACIO</t>
  </si>
  <si>
    <t>COM FUNC CT - ADMINSITRATIVO</t>
  </si>
  <si>
    <t>SALCEDO MARTINEZ JONATHAN DAVID</t>
  </si>
  <si>
    <t>COM FUNC TCS</t>
  </si>
  <si>
    <t>CAIPE RODRIGUEZ LUIS CARLOS</t>
  </si>
  <si>
    <t>PATIÑO CUASTUMAL RICHARD JHONY</t>
  </si>
  <si>
    <t>COM FUNC FACTURACION</t>
  </si>
  <si>
    <t>ORTIZ DERAZO JUAN CARLOS</t>
  </si>
  <si>
    <t>ERIRA TUPAZ WILLIAM EDISSON</t>
  </si>
  <si>
    <t>13012954</t>
  </si>
  <si>
    <t>MENDOZA VALLEJO RICARDO HOMERO</t>
  </si>
  <si>
    <t>12998227</t>
  </si>
  <si>
    <t>ZAMBRANO MIER CARLOS ANIBAL</t>
  </si>
  <si>
    <t>DERAZO RODRIGUEZ EDGAR ANIBAL</t>
  </si>
  <si>
    <t>CHARFUELAN RIASCOS RICHARD ESTEBAN</t>
  </si>
  <si>
    <t>TCS - ENCARGO DESDE 03/08/2026</t>
  </si>
  <si>
    <t>CADENA GUERRERO  IVAN ENRIQUE</t>
  </si>
  <si>
    <t>HERRERA CEBALLOS SEGUNDO CLIMACO</t>
  </si>
  <si>
    <t>JURADO REVELO HWEIMAR ORLANDO</t>
  </si>
  <si>
    <t>ROSERO MONTENEGRO MARCELO LIBARDO</t>
  </si>
  <si>
    <t>RAMIREZ BENITES ALVEAR JAVIER</t>
  </si>
  <si>
    <t>COM REC INST LA VICTORIA</t>
  </si>
  <si>
    <t>OVIDIO VILLAREAL CARLOS</t>
  </si>
  <si>
    <t>GAON GUERRERO DARIO FERNANDO</t>
  </si>
  <si>
    <t>TOBAR JESUS</t>
  </si>
  <si>
    <t>NARVAEZ CASANOVA LEONARDO FABIO</t>
  </si>
  <si>
    <t>PANTOJA PANTOJA YUDI NATALI</t>
  </si>
  <si>
    <t xml:space="preserve">PROFESIONAL ESPECIALIZADO </t>
  </si>
  <si>
    <t>ZONA SUR - TUQUERRES</t>
  </si>
  <si>
    <t>JEFE DE DEPTO</t>
  </si>
  <si>
    <t>13062133</t>
  </si>
  <si>
    <t>DELGADO CARLOS ANTONIO</t>
  </si>
  <si>
    <t>12985269</t>
  </si>
  <si>
    <t>ORTIZ LATORRE MARTIN FERNANDO</t>
  </si>
  <si>
    <t>ORTIZ MENESES ALEXANDER EDUARD</t>
  </si>
  <si>
    <t>CAD</t>
  </si>
  <si>
    <t>98135056</t>
  </si>
  <si>
    <t>ROSERO CAICEDO JOSE ARMANDO</t>
  </si>
  <si>
    <t>TERAN YEPES WILLIAM RICARDO</t>
  </si>
  <si>
    <t>MAYA CORAL AYDA ALEXANDRA</t>
  </si>
  <si>
    <t>ENC DESDE 04/08/26.</t>
  </si>
  <si>
    <t>CAICEDO ALBERTO RODRIGO</t>
  </si>
  <si>
    <t>FUERTES ALVAREZ LUCIO BUENAVENTURA</t>
  </si>
  <si>
    <t>98356837</t>
  </si>
  <si>
    <t>CADENA ASTUR NILO FABIAN</t>
  </si>
  <si>
    <t>CHAVEZ VALLEJO LEONEL ANTONIO</t>
  </si>
  <si>
    <t>ALVAREZ TARAPUEZ ALIRIO YOBANY</t>
  </si>
  <si>
    <t>ASCUNTAR ARTEAGA JAIRO ALBERTO</t>
  </si>
  <si>
    <t>RODRIGUEZ GUERRERO CRISTIAN ANTONIO</t>
  </si>
  <si>
    <t>FUNCIONES ADMINISTRATIVAS</t>
  </si>
  <si>
    <t>LOPEZ ASCUNTAR CRISTIAN CAMILO</t>
  </si>
  <si>
    <t>PANTOJA ALVAREZ QUEMER ARBEY</t>
  </si>
  <si>
    <t>00150</t>
  </si>
  <si>
    <t>CADENA ASCUNTAR LUIS CARLOS</t>
  </si>
  <si>
    <t>OPERADOR MAQUINISTA</t>
  </si>
  <si>
    <t>CADENA LUIS MARINO</t>
  </si>
  <si>
    <t>VILLOTA ALVAREZ JORGE ALEXANDER</t>
  </si>
  <si>
    <t>ALTAMIRANO CAICEDO FERNANDO CAMILO</t>
  </si>
  <si>
    <t>FUELANTALA BENAVIDES ROBIN ALEJANDRO</t>
  </si>
  <si>
    <t>ZONA SUR - TUQUERRES - SANTANA</t>
  </si>
  <si>
    <t>ARTEAGA ANTONIO EDUARDO</t>
  </si>
  <si>
    <t>ZONA SUR - TUQUERRES - SANTANDER</t>
  </si>
  <si>
    <t>ROSERO LOPEZ GUILLERMO GIRALDO</t>
  </si>
  <si>
    <t>ZONA SUR - TUQUERRES - RICAURTE</t>
  </si>
  <si>
    <t>GUERRERO BRAVO CARLOS ALBERTO</t>
  </si>
  <si>
    <t>ZONA SUR - TUQUERRES - OSPINA</t>
  </si>
  <si>
    <t>HIDALGO SALDAÑA EDUARDO FRANCISCO</t>
  </si>
  <si>
    <t>ZONA SUR - TUQUERRES - YASCUAL</t>
  </si>
  <si>
    <t>MELO SOLARTE WILLIAM HERNEY PASTOR</t>
  </si>
  <si>
    <t>ZONA SUR - TUQUERRES - GUAITARILLA</t>
  </si>
  <si>
    <t>PANTOJA JURADO OSCAR BLADIMIR</t>
  </si>
  <si>
    <t>ZONA SUR - TUQUERRES - OLAYA</t>
  </si>
  <si>
    <t>PANTOJA QUIROZ DAVID YOLIAN</t>
  </si>
  <si>
    <t>ROSERO MENESES GERSON HARLINGTON</t>
  </si>
  <si>
    <t>ZONA SUR - TUQUERRES - PINSON</t>
  </si>
  <si>
    <t>TOBAR BERNAL JESUS ALIRIO</t>
  </si>
  <si>
    <t>RUANO CUASPUD YOLVY ELIZABETH</t>
  </si>
  <si>
    <t>ZONA SUR - TUQUERRES - SAPUYES</t>
  </si>
  <si>
    <t>AREVALO ESTRADA DANNY ANDRES</t>
  </si>
  <si>
    <t>98370267</t>
  </si>
  <si>
    <t>SANTACRUZ ROMERO JOSE ARQUIMEDES</t>
  </si>
  <si>
    <t>ZONA SUR - TUQUERRES - ILES</t>
  </si>
  <si>
    <t>TREJO RIASCOS JAVIER EDUARDO</t>
  </si>
  <si>
    <t>ZONA SUR - TUQUERRES - PIEDRANCHA</t>
  </si>
  <si>
    <t>98370459</t>
  </si>
  <si>
    <t>TULCAN CHAMPUTIZ JUAN CARLOS</t>
  </si>
  <si>
    <t>PALACIOS ESTRELLA ANGY FERNANDA</t>
  </si>
  <si>
    <t>CERON ANAMA EDUIN HORACIO</t>
  </si>
  <si>
    <t>MORA LEON CARLOS EMILIO</t>
  </si>
  <si>
    <t>PATIÑO GUERRERO EDGAR EDUARDO</t>
  </si>
  <si>
    <t>CAICEDO CAICEDO MARIO EDGARDO</t>
  </si>
  <si>
    <t xml:space="preserve">AUXILIAR RECAUDADOR </t>
  </si>
  <si>
    <t>87572781</t>
  </si>
  <si>
    <t>BENAVIDES PORTILLO JESUS JAIME</t>
  </si>
  <si>
    <t>COM FUN ALMACEN DESDE 04/08/26</t>
  </si>
  <si>
    <t>5344702</t>
  </si>
  <si>
    <t>AZAIN MORENO LUIS ANTIDIO</t>
  </si>
  <si>
    <t>13064347</t>
  </si>
  <si>
    <t>LARA ERASO HERNAN FRANCISCO</t>
  </si>
  <si>
    <t>COM FUNC COORDINADOR DE GRUPO</t>
  </si>
  <si>
    <t>87530541</t>
  </si>
  <si>
    <t>PORTILLA NOGUERA WILLIAM MARTIN</t>
  </si>
  <si>
    <t>PERDIDAS</t>
  </si>
  <si>
    <t>98325102</t>
  </si>
  <si>
    <t>URBINA MARTINEZ LUIS AURELIO</t>
  </si>
  <si>
    <t>MUÑOZ CASTILLO CARLOS EFREN</t>
  </si>
  <si>
    <t>ZONA NORTE - LA UNION</t>
  </si>
  <si>
    <t>BOLAÑOS DIAZ DURIAN ENRIQUE</t>
  </si>
  <si>
    <t>27297420</t>
  </si>
  <si>
    <t>MUÑOZ GALLARDO DEYANIRA</t>
  </si>
  <si>
    <t>CORDOBA RODRIGUEZ HARRY ALFREDO</t>
  </si>
  <si>
    <t>DELGADO BUCHELI EDIT MARGOTH</t>
  </si>
  <si>
    <t>10546314</t>
  </si>
  <si>
    <t>ENRIQUEZ RUIZ FABIO</t>
  </si>
  <si>
    <t>MANTENIMIENTO</t>
  </si>
  <si>
    <t>BENAVIDES ORDOÑEZ KELVIN ROBINSON</t>
  </si>
  <si>
    <t>CULTID QUITIAQUEZ SEGUNDO EDGAR</t>
  </si>
  <si>
    <t>VALDEZ RIASCOS SILVIO</t>
  </si>
  <si>
    <t>BRAVO BRAVO OSCAR GUILLERMO</t>
  </si>
  <si>
    <t>ORDONEZ LASSO MELQUISEDES</t>
  </si>
  <si>
    <t>COM FUNC INSTALADOR LECTOR</t>
  </si>
  <si>
    <t>LOPEZ JURADO ARMANDO</t>
  </si>
  <si>
    <t>MONTERO LOPEZ DARWIN VANEYI</t>
  </si>
  <si>
    <t>COM FUNC TCS REDES</t>
  </si>
  <si>
    <t>URBANO URBANO OLVER WALDEMAR</t>
  </si>
  <si>
    <t>15813110</t>
  </si>
  <si>
    <t>MENESES ERAZO EDGAR GOFREY</t>
  </si>
  <si>
    <t>REYES  ALVARO RAUL</t>
  </si>
  <si>
    <t>CORDOBA MARTINEZ JUAN JOSE</t>
  </si>
  <si>
    <t xml:space="preserve">Traslado de Pasto </t>
  </si>
  <si>
    <t>CORDOBA I. KELVIN FERNANDO</t>
  </si>
  <si>
    <t>ZONA NORTE - LA UNION - SAN LORENZO</t>
  </si>
  <si>
    <t>MUÑOZ DE LA CRUZ LUIS GERARDO</t>
  </si>
  <si>
    <t>ZONA NORTE - LA UNION - TAMINANGO</t>
  </si>
  <si>
    <t>MUÑOZ MARTINEZ HERNANDO MARIEL</t>
  </si>
  <si>
    <t>ZONA NORTE - LA UNION - BERREUCOS</t>
  </si>
  <si>
    <t>10487201</t>
  </si>
  <si>
    <t>LOPEZ PASTES RIDER</t>
  </si>
  <si>
    <t>ZONA NORTE - LA UNION - REMOLINO</t>
  </si>
  <si>
    <t>MARTINEZ DIAZ OSCAR RAUL</t>
  </si>
  <si>
    <t>RUIZ BURBANO SEGUNDO RICARDO</t>
  </si>
  <si>
    <t>15812302</t>
  </si>
  <si>
    <t>ERASO SOLARTE ORLANDO</t>
  </si>
  <si>
    <t>AYALA ROJAS MARIO FERNANDO</t>
  </si>
  <si>
    <t>94308175</t>
  </si>
  <si>
    <t>HERNANDEZ TONGUINO FELIX ARTURO</t>
  </si>
  <si>
    <t>ZONA NORTE - SAN PABLO</t>
  </si>
  <si>
    <t>JEFE DEPTO</t>
  </si>
  <si>
    <t>12989599</t>
  </si>
  <si>
    <t>NARVAEZ NARVAEZ OSCAR ORLANDO</t>
  </si>
  <si>
    <t>CERON CERON JULIAN EDUARDO</t>
  </si>
  <si>
    <t>IMACHI GRIJALBA ALICIA DEL CARMEN</t>
  </si>
  <si>
    <t>ENCARGO. COM FUNC SST</t>
  </si>
  <si>
    <t>ORTIZ CERON EDIGSON FERNANDO</t>
  </si>
  <si>
    <t>ENC DESDE 16/07/2026</t>
  </si>
  <si>
    <t>BOLAÑOS URBANO JAVIER</t>
  </si>
  <si>
    <t>BOLAÑOS SILVA AMPARO DEL PILAR</t>
  </si>
  <si>
    <t>BOLAÑOS BOLAÑOS ERICK YANNITH</t>
  </si>
  <si>
    <t>27450978</t>
  </si>
  <si>
    <t>MUÑOZ REALPE ROSA EDILMA</t>
  </si>
  <si>
    <t>98323073</t>
  </si>
  <si>
    <t>MARTINEZ ERASO JAVIER FERNANDO</t>
  </si>
  <si>
    <t>LASSO ORTEGA OMAR</t>
  </si>
  <si>
    <t>POSADA LOPEZ PAOLA ANDREA</t>
  </si>
  <si>
    <t>LASSO MELENDEZ ANDRES EDUARDO</t>
  </si>
  <si>
    <t>COM TALLER ELECTRICO</t>
  </si>
  <si>
    <t>ARCOS BELTRAN DIEGO ERNESTO</t>
  </si>
  <si>
    <t>URBANO GOMEZ JESUS</t>
  </si>
  <si>
    <t>ZONA NORTE - SAN PABLO - GENOVA</t>
  </si>
  <si>
    <t>87246455</t>
  </si>
  <si>
    <t>TORRES TORRES LUIS GERARDO</t>
  </si>
  <si>
    <t>ZONA NORTE - SAN PABLO - BRISEÑO</t>
  </si>
  <si>
    <t>BELTRAN ORTIZ ROGER</t>
  </si>
  <si>
    <t>ZONA NORTE - SAN PABLO - VILLANUEVA</t>
  </si>
  <si>
    <t>98322990</t>
  </si>
  <si>
    <t>MURIEL PABON JORGE MARINO</t>
  </si>
  <si>
    <t>ZONA NORTE - SAN PABLO - SAN PABLO</t>
  </si>
  <si>
    <t>12979199</t>
  </si>
  <si>
    <t>ORDOÑEZ ORDOÑEZ JORGE WILLIAM</t>
  </si>
  <si>
    <t>ORTIZ ÑAÑEZ DIEVER LINO</t>
  </si>
  <si>
    <t>ENCARGO DESDE 16/07/26.</t>
  </si>
  <si>
    <t>98322172</t>
  </si>
  <si>
    <t>BOLAÑOS CERON SEGUNDO OLIVERIO</t>
  </si>
  <si>
    <t>BOLAÑOS ORTEGA SEGUNDO NABOR</t>
  </si>
  <si>
    <t>BOLAÑOS URBANO DARLEY</t>
  </si>
  <si>
    <t>87246860</t>
  </si>
  <si>
    <t>CAIZA ALVEAR RICARDO RAUL</t>
  </si>
  <si>
    <t>15813263</t>
  </si>
  <si>
    <t>MUÑOZ MUÑOZ LUIS ARTURO</t>
  </si>
  <si>
    <t>98322514</t>
  </si>
  <si>
    <t>MUÑOZ BOLAÑOS SEGUNDO VIDAL</t>
  </si>
  <si>
    <t>OPERADOR  TABLERISTA</t>
  </si>
  <si>
    <t>98379374</t>
  </si>
  <si>
    <t>DEL CASTILLO FLOREZ MARCO ANTONIO</t>
  </si>
  <si>
    <t>BRAVO BOLAÑOS EIDER MIRLEY</t>
  </si>
  <si>
    <t>ORTEGA BRAVO ALIRIO</t>
  </si>
  <si>
    <t xml:space="preserve">OPERADOR MAQUINISTA TABLERISTA </t>
  </si>
  <si>
    <t>98322605</t>
  </si>
  <si>
    <t>BOLAÑOS MAYA LUIS CARLOS</t>
  </si>
  <si>
    <t>MUÑOZ URBANO ANGEL ANDRES</t>
  </si>
  <si>
    <t>87246335</t>
  </si>
  <si>
    <t>ORDOÑEZ ORTEGA OLVAR IVAN</t>
  </si>
  <si>
    <t>LASSO MUÑOZ JAVIER FRANCISCO</t>
  </si>
  <si>
    <t>MUTIS MUÑOZ HUVER</t>
  </si>
  <si>
    <t>QUIÑONEZ DIAZ HAIR ARMANDO</t>
  </si>
  <si>
    <t>ORTEGA RODRIGUEZ RONAR GERARDO</t>
  </si>
  <si>
    <t>ROSERO VALDEZ MIGUEL ANGEL</t>
  </si>
  <si>
    <t>MURIEL NOGUERA EDWIN FABIAN</t>
  </si>
  <si>
    <t>GUZMAN MONCAYO RODRIGO</t>
  </si>
  <si>
    <t>ORDOÑEZ ORDOÑEZ JOSE PLINIO</t>
  </si>
  <si>
    <t>REALPE BELTRAN JUAN CARLOS</t>
  </si>
  <si>
    <t>27451042</t>
  </si>
  <si>
    <t>RIASCOS MUÑOZ DIDALVA</t>
  </si>
  <si>
    <t>87246104</t>
  </si>
  <si>
    <t>MUTIS IBARRA RUBIO HERNEY</t>
  </si>
  <si>
    <t>ZONA NORTE - LA CRUZ</t>
  </si>
  <si>
    <t>REBOLLEDO MUÑOZ ELISA JULIETA</t>
  </si>
  <si>
    <t>27277627</t>
  </si>
  <si>
    <t>MUÑOZ BOLAÑOS ALBA ANTONIETA</t>
  </si>
  <si>
    <t>TRASNLADO PASTO - LA CRUZ</t>
  </si>
  <si>
    <t>HOYOS BENITEZ MAGALY ANDREA</t>
  </si>
  <si>
    <t>ENC DESDE 10/08/26</t>
  </si>
  <si>
    <t>DIAZ BOLAÑOS FRANCIA ELENA</t>
  </si>
  <si>
    <t>87246765</t>
  </si>
  <si>
    <t>BOLAÑOS BOLAÑOS OLMES</t>
  </si>
  <si>
    <t>LEDEZMA PAULO HERNAN</t>
  </si>
  <si>
    <t>CRIOLLO SOLARTE CARLOS HERNAN</t>
  </si>
  <si>
    <t>MOLINA REALPE JHON EDWIN</t>
  </si>
  <si>
    <t>87246044</t>
  </si>
  <si>
    <t>ORDOÑEZ BRAVO JULIO CESAR</t>
  </si>
  <si>
    <t>94297164</t>
  </si>
  <si>
    <t>VELASCO MUÑOZ SEGUNDO PABLO EMILIO</t>
  </si>
  <si>
    <t>MUÑOZ ORDOÑEZ OLGA MERY</t>
  </si>
  <si>
    <t>FUNCIONES SECRETARIA</t>
  </si>
  <si>
    <t>94453751</t>
  </si>
  <si>
    <t>CORTEZ ORDOÑEZ CANCIO ALBERTO</t>
  </si>
  <si>
    <t>12993720</t>
  </si>
  <si>
    <t>RIVERA DELGADO EVER OVIDIO</t>
  </si>
  <si>
    <t>ZONA NORTE - LA CRUZ - SAN BERNARDO</t>
  </si>
  <si>
    <t>BRAVO CARLOSAMA ALVARO</t>
  </si>
  <si>
    <t>ZONA NORTE - LA CRUZ - SAN JOSE</t>
  </si>
  <si>
    <t>TULCAN HERRERA DELIO</t>
  </si>
  <si>
    <t>ZONA NORTE - LA CRUZ - EL TABLON</t>
  </si>
  <si>
    <t>MOLINA GUERRERO YOJAN EMILSON</t>
  </si>
  <si>
    <t>COM CAD - FUN ADMIN</t>
  </si>
  <si>
    <t>ORDOÑEZ PALACIOS ALVARO</t>
  </si>
  <si>
    <t>ZONA NORTE - LA CRUZ - BELEN</t>
  </si>
  <si>
    <t>ORDOÑEZ ORDOÑEZ ROBERT</t>
  </si>
  <si>
    <t>MUÑOZ LOPEZ ALBERT ADRIAN</t>
  </si>
  <si>
    <t>ALVARADO ORDOÑEZ LEIDER JONNY</t>
  </si>
  <si>
    <t>ORDOÑEZ MUÑOZ FREDY LIZANDRO</t>
  </si>
  <si>
    <t>12973968</t>
  </si>
  <si>
    <t>GUERRERO RODRIGUEZ GERMAN IGNACIO</t>
  </si>
  <si>
    <t>SANDONA</t>
  </si>
  <si>
    <t>GARCIA MONTEZUMA ARNOLDO FABIO</t>
  </si>
  <si>
    <t>87571788</t>
  </si>
  <si>
    <t>MERA FLOREZ RAUL ARNALDO</t>
  </si>
  <si>
    <t>SANTACRUZ RUIZ DAYANA PATRICIA</t>
  </si>
  <si>
    <t>91443516</t>
  </si>
  <si>
    <t>RODRIGUEZ ROSERO LUIS JAVIER</t>
  </si>
  <si>
    <t>CASTILLO MENESES ANGY LORENA</t>
  </si>
  <si>
    <t>CAGIJAS CORDOBA SANDRA YAMILE</t>
  </si>
  <si>
    <t>MATITUY PEREZ SEGUNDO ERMINSUL</t>
  </si>
  <si>
    <t>87571796</t>
  </si>
  <si>
    <t>CRUZ LOPEZ HENRY EDUARDO</t>
  </si>
  <si>
    <t xml:space="preserve"> AHUMADA ACOSTA ARLEY</t>
  </si>
  <si>
    <t>IZQUIERDO JORGE ANDRES</t>
  </si>
  <si>
    <t>RODRIGUEZ GUERRERO JAIRO JAVIER</t>
  </si>
  <si>
    <t>ENRIQUEZ ENRIQUEZ DEIBY ORLANDO</t>
  </si>
  <si>
    <t>RIASCOS MARTINEZ CARLOS ALBERTO</t>
  </si>
  <si>
    <t>CAJIGAS CAICEDO JOSE LUIS</t>
  </si>
  <si>
    <t>VALLEJO CORDOBA JHONY EDWARD</t>
  </si>
  <si>
    <t>AGREDA ZAMBRANO FRANCISCO</t>
  </si>
  <si>
    <t>CARGO DE PASTO</t>
  </si>
  <si>
    <t>87570833</t>
  </si>
  <si>
    <t>CHAMORRO DIAZ GUILLERMO</t>
  </si>
  <si>
    <t>HERRERA PARRA MONICA</t>
  </si>
  <si>
    <t>87574053</t>
  </si>
  <si>
    <t>MARTINEZ ENRIQUEZ WILMER UBERNEI</t>
  </si>
  <si>
    <t>SANDONA - LINARES</t>
  </si>
  <si>
    <t>RIASCOS RIASCOS JOSE EDGAR</t>
  </si>
  <si>
    <t>SANDONA - EL TAMBO</t>
  </si>
  <si>
    <t>12986978</t>
  </si>
  <si>
    <t>VILLOTA NARVAEZ JORGE AUGUSTO</t>
  </si>
  <si>
    <t>SANDONA - CONSACA</t>
  </si>
  <si>
    <t>PANTOJA GOYES HECTOR FAVIO</t>
  </si>
  <si>
    <t>SANDONA - SAMANIEGO</t>
  </si>
  <si>
    <t>GARCIA RIASCOS JESUS ALBERTO</t>
  </si>
  <si>
    <t>SANDONA - EL PEÑOL</t>
  </si>
  <si>
    <t>GARCIA RIASCOS SEGUNDO(DESAPARECIDO)</t>
  </si>
  <si>
    <t>98339830</t>
  </si>
  <si>
    <t>PORTILLA CERON LUIS GUILLERMO</t>
  </si>
  <si>
    <t>SANDONA - ANCUYA</t>
  </si>
  <si>
    <t>COM FUNC PUNTO INFORM ANCUYA</t>
  </si>
  <si>
    <t>DESCANCE CHINCHA HERNAN DARIO</t>
  </si>
  <si>
    <t>SANDONA - SOTOMAYOR</t>
  </si>
  <si>
    <t>PIANDA CHACHINOY JULIAN DAVID</t>
  </si>
  <si>
    <t>ERAZO FAJARDO DAYAN DARIO</t>
  </si>
  <si>
    <t>BETANCURTH MELO TOMAS FABIAN</t>
  </si>
  <si>
    <t>SANDONA - LA LLANADA</t>
  </si>
  <si>
    <t>HIDALGO CUATINDOY CARLOS GIOVANNY</t>
  </si>
  <si>
    <t>SANDONA - LA FLORIDA</t>
  </si>
  <si>
    <t>RODRIGUEZ MELO NORBERTO GEOVANY</t>
  </si>
  <si>
    <t>SANDONA - GUACHAVEZ</t>
  </si>
  <si>
    <t>DOMINGUEZ MIRAMAC MANUEL GIRALDO</t>
  </si>
  <si>
    <t>SANDONA - NARIÑO</t>
  </si>
  <si>
    <t>CALDERON TORO EULISES</t>
  </si>
  <si>
    <t>SANDONA - PROVEDENCIA</t>
  </si>
  <si>
    <t>IBARRA ARTEAGA JOSE ERMENCIO</t>
  </si>
  <si>
    <t>VALLEJO PANTOJA JHON JAIRO</t>
  </si>
  <si>
    <t>SABA ZAMBRANO YAMIL</t>
  </si>
  <si>
    <t>GRUA</t>
  </si>
  <si>
    <t>ZAMUDIO BASTIDAS EUTIMIO FERLEY</t>
  </si>
  <si>
    <t>BENAVIDES JESUS HERNEY</t>
  </si>
  <si>
    <t>CAICEDO CASTRO MARCELA</t>
  </si>
  <si>
    <t>27433094</t>
  </si>
  <si>
    <t>PORTILLO ROSERO MARIA OBDULIA</t>
  </si>
  <si>
    <t>SALAZAR SAVEDRA CARLOS ANDRES</t>
  </si>
  <si>
    <t>ZONA PACIFICO - TUMACO</t>
  </si>
  <si>
    <t>98427879</t>
  </si>
  <si>
    <t>OBANDO LANDAZURY SEGUNDO ROBINSON</t>
  </si>
  <si>
    <t>DISTR Y PERDIDAS</t>
  </si>
  <si>
    <t>12911930</t>
  </si>
  <si>
    <t>MOLINA MUÑOZ JAVIER ANTONIO</t>
  </si>
  <si>
    <t>BENITEZ OSCAR ARMANDO</t>
  </si>
  <si>
    <t>ENCARGO desde 03/08/26.</t>
  </si>
  <si>
    <t>ESCOBAR SINISTERRA DIANA JANETH</t>
  </si>
  <si>
    <t>ZAMBRANO CORTES LORENA YOLIMA</t>
  </si>
  <si>
    <t>DIAZ BENAVIDES JULIO CESAR</t>
  </si>
  <si>
    <t>59675132</t>
  </si>
  <si>
    <t>GONZALEZ CASTILLO MARIA CRISTINA</t>
  </si>
  <si>
    <t>59671131</t>
  </si>
  <si>
    <t>GONZALEZ MARQUINEZ DORA ALICIA</t>
  </si>
  <si>
    <t>87431044</t>
  </si>
  <si>
    <t>CABEZAS BASTIDAS CECILIO SEBASTIAN</t>
  </si>
  <si>
    <t>GAVIRIA MESA JIMENA</t>
  </si>
  <si>
    <t>MONTAÑO GONZALES KAREN IRENE</t>
  </si>
  <si>
    <t xml:space="preserve">ENCARGO </t>
  </si>
  <si>
    <t>ANGULO VALENCIA GERSON PACHO</t>
  </si>
  <si>
    <t>ARDILA CHAVES MANUEL JOAQUIN</t>
  </si>
  <si>
    <t>CASTILLO RODRIGUEZ FLAVIO JHONY</t>
  </si>
  <si>
    <t>CORTES LOPEZ JHON ALEXANDER</t>
  </si>
  <si>
    <t>QUIÑONES MURILLO CELSO HUMBERTO</t>
  </si>
  <si>
    <t>DAJOME MOLANO ELMER  GIOVANNI</t>
  </si>
  <si>
    <t>98428203</t>
  </si>
  <si>
    <t>QUIÑONEZ CABEZAS FRANKLIN ERNESTO</t>
  </si>
  <si>
    <t>CHAVES VILLOTA SANDRO</t>
  </si>
  <si>
    <t>ENRIQUE RODRIGUEZ FAVIO</t>
  </si>
  <si>
    <t>ENCARGO DESDE 05/08/26</t>
  </si>
  <si>
    <t>12917817</t>
  </si>
  <si>
    <t>RAMIREZ QUIÑONEZ FRANCISCO GENARO</t>
  </si>
  <si>
    <t>ZONA PACIFICO - TUMACO - BUCHELI</t>
  </si>
  <si>
    <t>ASCE A OPER SUB DESDE 05/05/26.</t>
  </si>
  <si>
    <t>12913104</t>
  </si>
  <si>
    <t>CORDOBA ORTIZ JAIRO ANTONIO</t>
  </si>
  <si>
    <t>16628398</t>
  </si>
  <si>
    <t>RUIZ VARGAS PEDRO MANUEL</t>
  </si>
  <si>
    <t>12916615</t>
  </si>
  <si>
    <t>NAZARENO MOLINERO JORGE SANTIAGO</t>
  </si>
  <si>
    <t>12914997</t>
  </si>
  <si>
    <t>SALCEDO POSSO HAROLD ANTONIO</t>
  </si>
  <si>
    <t xml:space="preserve">ROSERO BRAVO JAOMER  IVAN-com func </t>
  </si>
  <si>
    <t>COM FUNCIONES</t>
  </si>
  <si>
    <t>13057544</t>
  </si>
  <si>
    <t>MONTOYA DUQUE GIOVANNI</t>
  </si>
  <si>
    <t>MEDINA GUERRERO HAMERLEY</t>
  </si>
  <si>
    <t>ZONA PACIFICO - TUMACO - TUMACO</t>
  </si>
  <si>
    <t>CIFUENTES MARQUEZ JORGE ANDRES</t>
  </si>
  <si>
    <t>CORTES SUAREZ JAIME  LIDER</t>
  </si>
  <si>
    <t>SEGURA PRECIADO NEMESIO DARIO</t>
  </si>
  <si>
    <t>SEVILLANO ARAUJO DAIWER</t>
  </si>
  <si>
    <t>CASTILLO OCAMPO HEIDER ANTONIO</t>
  </si>
  <si>
    <t>CONGELADA</t>
  </si>
  <si>
    <t>SILVA BLANDON  MARIO WALTER</t>
  </si>
  <si>
    <t>PRECIADO MERCHANCANO JHON IVAN</t>
  </si>
  <si>
    <t>pasaron a indefinidos a partir del 01 de  junio de 2022</t>
  </si>
  <si>
    <t>Pasaron a indefinidos a partri del 01 de  enero de 2024</t>
  </si>
  <si>
    <t>NOTA: a PARTIR DEL 01 DE ENERO DE 2025 LA COLABORADORA LILIAM CRIOLLO PASA A SALARIO INTEGRAL QUEJANDO COMO JEFE DE DIVISION AREA FACTURACION.</t>
  </si>
  <si>
    <t>Pasaron a Indefinido a apartir del 01/01/2025</t>
  </si>
  <si>
    <t>Cargos fuera de planta por estar ocupados</t>
  </si>
  <si>
    <t>TERMINO FIJO</t>
  </si>
  <si>
    <t>TERMINO INDEFINIDO</t>
  </si>
  <si>
    <t>MASCULINO</t>
  </si>
  <si>
    <t>NUEVOS TERMINO INDEFINIDO</t>
  </si>
  <si>
    <t>FEMENINO</t>
  </si>
  <si>
    <t>SALARIO INTEGRAL</t>
  </si>
  <si>
    <t>TOTAL:</t>
  </si>
  <si>
    <t>JUBILADOS</t>
  </si>
  <si>
    <t>LOCALIZACION</t>
  </si>
  <si>
    <t>GENERACION</t>
  </si>
  <si>
    <t>ZONA</t>
  </si>
  <si>
    <t>TECNICOS</t>
  </si>
  <si>
    <t>ADMIN</t>
  </si>
  <si>
    <t>TOTAL</t>
  </si>
  <si>
    <t>DISTRIBUCION</t>
  </si>
  <si>
    <t>COMERCIALIZACION</t>
  </si>
  <si>
    <t>PASTO</t>
  </si>
  <si>
    <t>OTROS</t>
  </si>
  <si>
    <t>IPIALES</t>
  </si>
  <si>
    <t>SAN PABLO</t>
  </si>
  <si>
    <t>LA UNION</t>
  </si>
  <si>
    <t>LA CRUZ</t>
  </si>
  <si>
    <t>TUMACO</t>
  </si>
  <si>
    <t>CONGELADAS</t>
  </si>
  <si>
    <t>VACANTES SIN OCUPAR</t>
  </si>
  <si>
    <t>TUQUERRES</t>
  </si>
  <si>
    <t>TOTAL CARGOS</t>
  </si>
  <si>
    <t>T.INDEFINIDO</t>
  </si>
  <si>
    <t>T. INDE_NUE</t>
  </si>
  <si>
    <t>T.FIJO</t>
  </si>
  <si>
    <t>S.INTEGRAL</t>
  </si>
  <si>
    <t>INDEFINIDOS</t>
  </si>
  <si>
    <t>INDEF. NUEVOS</t>
  </si>
  <si>
    <t>FIJO</t>
  </si>
  <si>
    <t>S. INTEGRAL</t>
  </si>
  <si>
    <t>SUBTOTAL</t>
  </si>
  <si>
    <t>Masculino</t>
  </si>
  <si>
    <t>Femenino</t>
  </si>
  <si>
    <t xml:space="preserve">    </t>
  </si>
  <si>
    <t>ADMINISTRATIVOS</t>
  </si>
  <si>
    <t>NIVEL</t>
  </si>
  <si>
    <t>HOMBRES</t>
  </si>
  <si>
    <t>MUJERES</t>
  </si>
  <si>
    <t>NIVEL DIRECTIVO (1)</t>
  </si>
  <si>
    <t>NIVEL ASESOR (2)</t>
  </si>
  <si>
    <t>NIVEL EJECUTIVO (3)</t>
  </si>
  <si>
    <t>NIVEL PROFESIONAL (4)</t>
  </si>
  <si>
    <t>NIVEL TECNICO (5)</t>
  </si>
  <si>
    <t>NIVEL ADMINISTRATIVO (6)</t>
  </si>
  <si>
    <t>NIVEL OPERATIVO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</si>
</sst>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7">
    <font>
      <sz val="11"/>
      <color theme="1"/>
      <name val="Calibri"/>
      <family val="2"/>
      <scheme val="minor"/>
    </font>
    <font>
      <sz val="8"/>
      <name val="Arial"/>
      <family val="2"/>
    </font>
    <font>
      <b/>
      <sz val="8"/>
      <name val="Arial"/>
      <family val="2"/>
    </font>
    <font>
      <sz val="8"/>
      <name val="CCODE39"/>
    </font>
    <font>
      <b/>
      <sz val="10"/>
      <name val="Arial"/>
      <family val="2"/>
    </font>
    <font>
      <sz val="8"/>
      <color rgb="FF00B050"/>
      <name val="Arial"/>
      <family val="2"/>
    </font>
    <font>
      <sz val="8"/>
      <color rgb="FF7030A0"/>
      <name val="Arial"/>
      <family val="2"/>
    </font>
    <font>
      <sz val="8"/>
      <color rgb="FF0070C0"/>
      <name val="Arial"/>
      <family val="2"/>
    </font>
    <font>
      <sz val="10"/>
      <name val="Arial"/>
      <family val="2"/>
    </font>
    <font>
      <sz val="8"/>
      <name val="Calibri"/>
      <family val="2"/>
      <scheme val="minor"/>
    </font>
    <font>
      <sz val="8"/>
      <color rgb="FF00B050"/>
      <name val="Calibri"/>
      <family val="2"/>
      <scheme val="minor"/>
    </font>
    <font>
      <sz val="10"/>
      <color rgb="FF0070C0"/>
      <name val="Calibri"/>
      <family val="2"/>
      <scheme val="minor"/>
    </font>
    <font>
      <sz val="8"/>
      <color rgb="FF000000"/>
      <name val="Arial"/>
      <family val="2"/>
    </font>
    <font>
      <b/>
      <sz val="8"/>
      <color rgb="FF0070C0"/>
      <name val="Arial"/>
      <family val="2"/>
    </font>
    <font>
      <sz val="10"/>
      <color rgb="FF00B050"/>
      <name val="Arial"/>
      <family val="2"/>
    </font>
    <font>
      <b/>
      <sz val="8"/>
      <color rgb="FF00B050"/>
      <name val="Arial"/>
      <family val="2"/>
    </font>
    <font>
      <sz val="8"/>
      <color rgb="FF0070C0"/>
      <name val="Calibri"/>
      <family val="2"/>
      <scheme val="minor"/>
    </font>
    <font>
      <sz val="8"/>
      <color theme="1"/>
      <name val="Arial"/>
      <family val="2"/>
    </font>
    <font>
      <u/>
      <sz val="11"/>
      <color theme="10"/>
      <name val="Calibri"/>
      <family val="2"/>
      <scheme val="minor"/>
    </font>
    <font>
      <sz val="9"/>
      <color rgb="FF0070C0"/>
      <name val="Calibri"/>
      <family val="2"/>
      <scheme val="minor"/>
    </font>
    <font>
      <b/>
      <sz val="11"/>
      <name val="Arial"/>
      <family val="2"/>
    </font>
    <font>
      <b/>
      <sz val="8"/>
      <color indexed="81"/>
      <name val="Tahoma"/>
      <family val="2"/>
    </font>
    <font>
      <sz val="8"/>
      <color indexed="81"/>
      <name val="Tahoma"/>
      <family val="2"/>
    </font>
    <font>
      <b/>
      <sz val="9"/>
      <color indexed="81"/>
      <name val="Tahoma"/>
      <family val="2"/>
    </font>
    <font>
      <sz val="9"/>
      <color indexed="81"/>
      <name val="Tahoma"/>
      <family val="2"/>
    </font>
    <font>
      <b/>
      <sz val="11"/>
      <color indexed="81"/>
      <name val="Tahoma"/>
      <family val="2"/>
    </font>
    <font>
      <sz val="11"/>
      <color indexed="81"/>
      <name val="Tahoma"/>
      <family val="2"/>
    </font>
  </fonts>
  <fills count="6">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rgb="FF7030A0"/>
        <bgColor indexed="64"/>
      </patternFill>
    </fill>
    <fill>
      <patternFill patternType="solid">
        <fgColor rgb="FFFF0000"/>
        <bgColor indexed="64"/>
      </patternFill>
    </fill>
  </fills>
  <borders count="46">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s>
  <cellStyleXfs count="3">
    <xf numFmtId="0" fontId="0" fillId="0" borderId="0"/>
    <xf numFmtId="0" fontId="8" fillId="0" borderId="0"/>
    <xf numFmtId="0" fontId="18" fillId="0" borderId="0" applyNumberFormat="0" applyFill="0" applyBorder="0" applyAlignment="0" applyProtection="0"/>
  </cellStyleXfs>
  <cellXfs count="286">
    <xf numFmtId="0" fontId="0" fillId="0" borderId="0" xfId="0"/>
    <xf numFmtId="1" fontId="1" fillId="0" borderId="0" xfId="0" applyNumberFormat="1" applyFont="1"/>
    <xf numFmtId="1" fontId="2" fillId="0" borderId="0" xfId="0" applyNumberFormat="1" applyFont="1" applyAlignment="1">
      <alignment horizontal="center"/>
    </xf>
    <xf numFmtId="0" fontId="1" fillId="0" borderId="0" xfId="0" applyFont="1"/>
    <xf numFmtId="0" fontId="1" fillId="0" borderId="0" xfId="0" applyFont="1" applyAlignment="1">
      <alignment horizontal="center"/>
    </xf>
    <xf numFmtId="14" fontId="1" fillId="0" borderId="0" xfId="0" applyNumberFormat="1" applyFont="1"/>
    <xf numFmtId="0" fontId="1" fillId="0" borderId="0" xfId="0" applyFont="1" applyAlignment="1">
      <alignment horizontal="left"/>
    </xf>
    <xf numFmtId="3" fontId="1" fillId="0" borderId="0" xfId="0" applyNumberFormat="1" applyFont="1"/>
    <xf numFmtId="1" fontId="3" fillId="0" borderId="0" xfId="0" applyNumberFormat="1" applyFont="1"/>
    <xf numFmtId="14" fontId="2" fillId="0" borderId="0" xfId="0" applyNumberFormat="1" applyFont="1" applyAlignment="1">
      <alignment horizontal="center"/>
    </xf>
    <xf numFmtId="2" fontId="1" fillId="0" borderId="0" xfId="0" applyNumberFormat="1" applyFont="1"/>
    <xf numFmtId="1" fontId="1" fillId="0" borderId="0" xfId="0" applyNumberFormat="1" applyFont="1" applyAlignment="1">
      <alignment horizontal="left"/>
    </xf>
    <xf numFmtId="0" fontId="2" fillId="0" borderId="0" xfId="0" applyFont="1" applyAlignment="1">
      <alignment horizontal="center"/>
    </xf>
    <xf numFmtId="1" fontId="4" fillId="0" borderId="0" xfId="0" applyNumberFormat="1" applyFont="1"/>
    <xf numFmtId="1" fontId="2" fillId="0" borderId="0" xfId="0" applyNumberFormat="1" applyFont="1"/>
    <xf numFmtId="2" fontId="2" fillId="0" borderId="0" xfId="0" applyNumberFormat="1" applyFont="1"/>
    <xf numFmtId="49" fontId="2" fillId="0" borderId="0" xfId="0" applyNumberFormat="1" applyFont="1"/>
    <xf numFmtId="0" fontId="2" fillId="0" borderId="0" xfId="0" applyFont="1"/>
    <xf numFmtId="0" fontId="2" fillId="0" borderId="0" xfId="0" applyFont="1" applyAlignment="1">
      <alignment horizontal="left"/>
    </xf>
    <xf numFmtId="1" fontId="2" fillId="0" borderId="1" xfId="0" applyNumberFormat="1" applyFont="1" applyBorder="1"/>
    <xf numFmtId="1" fontId="2" fillId="0" borderId="1" xfId="0" applyNumberFormat="1" applyFont="1" applyBorder="1" applyAlignment="1">
      <alignment horizontal="center"/>
    </xf>
    <xf numFmtId="0" fontId="2" fillId="0" borderId="1" xfId="0" applyFont="1" applyBorder="1"/>
    <xf numFmtId="0" fontId="2" fillId="0" borderId="1" xfId="0" applyFont="1" applyBorder="1" applyAlignment="1">
      <alignment horizontal="center"/>
    </xf>
    <xf numFmtId="0" fontId="2" fillId="0" borderId="2" xfId="0" applyFont="1" applyBorder="1"/>
    <xf numFmtId="49" fontId="1" fillId="0" borderId="3" xfId="0" applyNumberFormat="1" applyFont="1" applyBorder="1"/>
    <xf numFmtId="1" fontId="1" fillId="0" borderId="3" xfId="0" applyNumberFormat="1" applyFont="1" applyBorder="1"/>
    <xf numFmtId="3" fontId="1" fillId="0" borderId="3" xfId="0" applyNumberFormat="1" applyFont="1" applyBorder="1"/>
    <xf numFmtId="164" fontId="1" fillId="0" borderId="3" xfId="0" applyNumberFormat="1" applyFont="1" applyBorder="1"/>
    <xf numFmtId="164" fontId="1" fillId="0" borderId="3" xfId="0" applyNumberFormat="1" applyFont="1" applyBorder="1" applyAlignment="1">
      <alignment horizontal="center"/>
    </xf>
    <xf numFmtId="0" fontId="1" fillId="0" borderId="3" xfId="0" applyFont="1" applyBorder="1"/>
    <xf numFmtId="0" fontId="1" fillId="0" borderId="3" xfId="0" applyFont="1" applyBorder="1" applyAlignment="1">
      <alignment horizontal="left"/>
    </xf>
    <xf numFmtId="0" fontId="1" fillId="0" borderId="3" xfId="0" applyFont="1" applyBorder="1" applyAlignment="1">
      <alignment horizontal="center"/>
    </xf>
    <xf numFmtId="0" fontId="1" fillId="0" borderId="4" xfId="0" applyFont="1" applyBorder="1"/>
    <xf numFmtId="49" fontId="5" fillId="0" borderId="3" xfId="0" applyNumberFormat="1" applyFont="1" applyBorder="1"/>
    <xf numFmtId="0" fontId="5" fillId="0" borderId="3" xfId="0" applyFont="1" applyBorder="1" applyAlignment="1">
      <alignment horizontal="left"/>
    </xf>
    <xf numFmtId="0" fontId="5" fillId="0" borderId="3" xfId="0" applyFont="1" applyBorder="1"/>
    <xf numFmtId="1" fontId="5" fillId="0" borderId="3" xfId="0" applyNumberFormat="1" applyFont="1" applyBorder="1"/>
    <xf numFmtId="3" fontId="5" fillId="0" borderId="3" xfId="0" applyNumberFormat="1" applyFont="1" applyBorder="1"/>
    <xf numFmtId="164" fontId="5" fillId="0" borderId="3" xfId="0" applyNumberFormat="1" applyFont="1" applyBorder="1"/>
    <xf numFmtId="164" fontId="5" fillId="0" borderId="3" xfId="0" applyNumberFormat="1" applyFont="1" applyBorder="1" applyAlignment="1">
      <alignment horizontal="center"/>
    </xf>
    <xf numFmtId="0" fontId="5" fillId="0" borderId="3" xfId="0" applyFont="1" applyBorder="1" applyAlignment="1">
      <alignment horizontal="right"/>
    </xf>
    <xf numFmtId="0" fontId="5" fillId="0" borderId="4" xfId="0" applyFont="1" applyBorder="1" applyAlignment="1">
      <alignment horizontal="left"/>
    </xf>
    <xf numFmtId="0" fontId="5" fillId="0" borderId="4" xfId="0" applyFont="1" applyBorder="1"/>
    <xf numFmtId="0" fontId="5" fillId="0" borderId="3" xfId="0" applyFont="1" applyBorder="1" applyAlignment="1">
      <alignment horizontal="center"/>
    </xf>
    <xf numFmtId="1" fontId="6" fillId="0" borderId="3" xfId="0" applyNumberFormat="1" applyFont="1" applyBorder="1"/>
    <xf numFmtId="1" fontId="6" fillId="0" borderId="3" xfId="0" applyNumberFormat="1" applyFont="1" applyBorder="1" applyAlignment="1">
      <alignment horizontal="left"/>
    </xf>
    <xf numFmtId="3" fontId="6" fillId="0" borderId="3" xfId="0" applyNumberFormat="1" applyFont="1" applyBorder="1"/>
    <xf numFmtId="164" fontId="6" fillId="0" borderId="3" xfId="0" applyNumberFormat="1" applyFont="1" applyBorder="1"/>
    <xf numFmtId="164" fontId="6" fillId="0" borderId="3" xfId="0" applyNumberFormat="1" applyFont="1" applyBorder="1" applyAlignment="1">
      <alignment horizontal="center"/>
    </xf>
    <xf numFmtId="0" fontId="6" fillId="0" borderId="3" xfId="0" applyFont="1" applyBorder="1" applyAlignment="1">
      <alignment horizontal="right"/>
    </xf>
    <xf numFmtId="0" fontId="6" fillId="0" borderId="3" xfId="0" applyFont="1" applyBorder="1" applyAlignment="1">
      <alignment horizontal="left"/>
    </xf>
    <xf numFmtId="0" fontId="6" fillId="0" borderId="3" xfId="0" applyFont="1" applyBorder="1"/>
    <xf numFmtId="0" fontId="6" fillId="0" borderId="3" xfId="0" applyFont="1" applyBorder="1" applyAlignment="1">
      <alignment horizontal="center"/>
    </xf>
    <xf numFmtId="0" fontId="6" fillId="0" borderId="4" xfId="0" applyFont="1" applyBorder="1"/>
    <xf numFmtId="1" fontId="1" fillId="0" borderId="3" xfId="0" applyNumberFormat="1" applyFont="1" applyBorder="1" applyAlignment="1">
      <alignment horizontal="left"/>
    </xf>
    <xf numFmtId="1" fontId="1" fillId="0" borderId="4" xfId="0" applyNumberFormat="1" applyFont="1" applyBorder="1"/>
    <xf numFmtId="0" fontId="1" fillId="0" borderId="5" xfId="0" applyFont="1" applyBorder="1"/>
    <xf numFmtId="0" fontId="1" fillId="0" borderId="6" xfId="0" applyFont="1" applyBorder="1" applyAlignment="1">
      <alignment horizontal="left"/>
    </xf>
    <xf numFmtId="0" fontId="1" fillId="0" borderId="6" xfId="0" applyFont="1" applyBorder="1"/>
    <xf numFmtId="0" fontId="1" fillId="0" borderId="4" xfId="0" applyFont="1" applyBorder="1" applyAlignment="1">
      <alignment horizontal="center"/>
    </xf>
    <xf numFmtId="49" fontId="7" fillId="0" borderId="3" xfId="0" applyNumberFormat="1" applyFont="1" applyBorder="1" applyAlignment="1">
      <alignment horizontal="left"/>
    </xf>
    <xf numFmtId="1" fontId="7" fillId="0" borderId="3" xfId="0" applyNumberFormat="1" applyFont="1" applyBorder="1" applyAlignment="1">
      <alignment horizontal="left"/>
    </xf>
    <xf numFmtId="1" fontId="7" fillId="0" borderId="3" xfId="0" applyNumberFormat="1" applyFont="1" applyBorder="1"/>
    <xf numFmtId="3" fontId="7" fillId="0" borderId="3" xfId="0" applyNumberFormat="1" applyFont="1" applyBorder="1"/>
    <xf numFmtId="164" fontId="7" fillId="0" borderId="3" xfId="0" applyNumberFormat="1" applyFont="1" applyBorder="1"/>
    <xf numFmtId="164" fontId="7" fillId="0" borderId="3" xfId="0" applyNumberFormat="1" applyFont="1" applyBorder="1" applyAlignment="1">
      <alignment horizontal="center"/>
    </xf>
    <xf numFmtId="0" fontId="7" fillId="0" borderId="3" xfId="0" applyFont="1" applyBorder="1" applyAlignment="1">
      <alignment horizontal="right"/>
    </xf>
    <xf numFmtId="0" fontId="7" fillId="0" borderId="4" xfId="0" applyFont="1" applyBorder="1" applyAlignment="1">
      <alignment horizontal="left"/>
    </xf>
    <xf numFmtId="0" fontId="7" fillId="0" borderId="4" xfId="0" applyFont="1" applyBorder="1"/>
    <xf numFmtId="0" fontId="7" fillId="0" borderId="3" xfId="0" applyFont="1" applyBorder="1"/>
    <xf numFmtId="0" fontId="7" fillId="0" borderId="4" xfId="0" applyFont="1" applyBorder="1" applyAlignment="1">
      <alignment horizontal="center"/>
    </xf>
    <xf numFmtId="1" fontId="5" fillId="0" borderId="3" xfId="0" applyNumberFormat="1" applyFont="1" applyBorder="1" applyAlignment="1">
      <alignment horizontal="left"/>
    </xf>
    <xf numFmtId="1" fontId="1" fillId="0" borderId="3" xfId="1" applyNumberFormat="1" applyFont="1" applyBorder="1"/>
    <xf numFmtId="0" fontId="1" fillId="0" borderId="3" xfId="0" applyFont="1" applyBorder="1" applyAlignment="1">
      <alignment horizontal="right"/>
    </xf>
    <xf numFmtId="0" fontId="7" fillId="0" borderId="3" xfId="0" applyFont="1" applyBorder="1" applyAlignment="1">
      <alignment horizontal="left"/>
    </xf>
    <xf numFmtId="0" fontId="7" fillId="0" borderId="3" xfId="0" applyFont="1" applyBorder="1" applyAlignment="1">
      <alignment horizontal="center"/>
    </xf>
    <xf numFmtId="0" fontId="1" fillId="0" borderId="4" xfId="0" applyFont="1" applyBorder="1" applyAlignment="1">
      <alignment horizontal="left"/>
    </xf>
    <xf numFmtId="1" fontId="5" fillId="0" borderId="4" xfId="0" applyNumberFormat="1" applyFont="1" applyBorder="1"/>
    <xf numFmtId="14" fontId="5" fillId="0" borderId="3" xfId="0" applyNumberFormat="1" applyFont="1" applyBorder="1"/>
    <xf numFmtId="1" fontId="5" fillId="0" borderId="3" xfId="0" applyNumberFormat="1" applyFont="1" applyBorder="1" applyAlignment="1">
      <alignment horizontal="center"/>
    </xf>
    <xf numFmtId="164" fontId="1" fillId="0" borderId="5" xfId="0" applyNumberFormat="1" applyFont="1" applyBorder="1"/>
    <xf numFmtId="164" fontId="9" fillId="0" borderId="3" xfId="0" applyNumberFormat="1" applyFont="1" applyBorder="1"/>
    <xf numFmtId="164" fontId="9" fillId="0" borderId="3" xfId="0" applyNumberFormat="1" applyFont="1" applyBorder="1" applyAlignment="1">
      <alignment horizontal="center"/>
    </xf>
    <xf numFmtId="0" fontId="9" fillId="0" borderId="3" xfId="0" applyFont="1" applyBorder="1" applyAlignment="1">
      <alignment horizontal="left"/>
    </xf>
    <xf numFmtId="1" fontId="1" fillId="0" borderId="3" xfId="0" applyNumberFormat="1" applyFont="1" applyBorder="1" applyAlignment="1">
      <alignment horizontal="center"/>
    </xf>
    <xf numFmtId="164" fontId="9" fillId="0" borderId="5" xfId="0" applyNumberFormat="1" applyFont="1" applyBorder="1"/>
    <xf numFmtId="164" fontId="5" fillId="0" borderId="5" xfId="0" applyNumberFormat="1" applyFont="1" applyBorder="1"/>
    <xf numFmtId="0" fontId="6" fillId="0" borderId="0" xfId="0" applyFont="1" applyAlignment="1">
      <alignment horizontal="center"/>
    </xf>
    <xf numFmtId="0" fontId="7" fillId="0" borderId="3" xfId="0" applyFont="1" applyBorder="1" applyAlignment="1">
      <alignment horizontal="left" wrapText="1"/>
    </xf>
    <xf numFmtId="0" fontId="1" fillId="0" borderId="3" xfId="0" applyFont="1" applyBorder="1" applyAlignment="1">
      <alignment horizontal="left" wrapText="1"/>
    </xf>
    <xf numFmtId="164" fontId="1" fillId="0" borderId="3" xfId="0" applyNumberFormat="1" applyFont="1" applyBorder="1" applyAlignment="1">
      <alignment horizontal="right"/>
    </xf>
    <xf numFmtId="0" fontId="1" fillId="2" borderId="3" xfId="0" applyFont="1" applyFill="1" applyBorder="1" applyAlignment="1">
      <alignment horizontal="center"/>
    </xf>
    <xf numFmtId="0" fontId="10" fillId="0" borderId="3" xfId="0" applyFont="1" applyBorder="1" applyAlignment="1">
      <alignment horizontal="left"/>
    </xf>
    <xf numFmtId="2" fontId="1" fillId="0" borderId="3" xfId="0" applyNumberFormat="1" applyFont="1" applyBorder="1"/>
    <xf numFmtId="0" fontId="5" fillId="0" borderId="4" xfId="0" applyFont="1" applyBorder="1" applyAlignment="1">
      <alignment horizontal="center"/>
    </xf>
    <xf numFmtId="2" fontId="5" fillId="0" borderId="3" xfId="0" applyNumberFormat="1" applyFont="1" applyBorder="1"/>
    <xf numFmtId="0" fontId="1" fillId="2" borderId="4" xfId="0" applyFont="1" applyFill="1" applyBorder="1" applyAlignment="1">
      <alignment horizontal="center"/>
    </xf>
    <xf numFmtId="0" fontId="6" fillId="0" borderId="4" xfId="0" applyFont="1" applyBorder="1" applyAlignment="1">
      <alignment horizontal="center"/>
    </xf>
    <xf numFmtId="1" fontId="1" fillId="0" borderId="4" xfId="0" applyNumberFormat="1" applyFont="1" applyBorder="1" applyAlignment="1">
      <alignment horizontal="center"/>
    </xf>
    <xf numFmtId="164" fontId="10" fillId="0" borderId="3" xfId="0" applyNumberFormat="1" applyFont="1" applyBorder="1"/>
    <xf numFmtId="164" fontId="10" fillId="0" borderId="3" xfId="0" applyNumberFormat="1" applyFont="1" applyBorder="1" applyAlignment="1">
      <alignment horizontal="center"/>
    </xf>
    <xf numFmtId="0" fontId="5" fillId="0" borderId="7" xfId="0" applyFont="1" applyBorder="1" applyAlignment="1">
      <alignment horizontal="center"/>
    </xf>
    <xf numFmtId="0" fontId="11" fillId="0" borderId="3" xfId="0" applyFont="1" applyBorder="1" applyAlignment="1">
      <alignment horizontal="left"/>
    </xf>
    <xf numFmtId="0" fontId="11" fillId="0" borderId="3" xfId="0" applyFont="1" applyBorder="1"/>
    <xf numFmtId="49" fontId="7" fillId="0" borderId="3" xfId="0" applyNumberFormat="1" applyFont="1" applyBorder="1"/>
    <xf numFmtId="49" fontId="6" fillId="0" borderId="3" xfId="0" applyNumberFormat="1" applyFont="1" applyBorder="1"/>
    <xf numFmtId="0" fontId="6" fillId="0" borderId="4" xfId="0" applyFont="1" applyBorder="1" applyAlignment="1">
      <alignment horizontal="left"/>
    </xf>
    <xf numFmtId="0" fontId="5" fillId="2" borderId="4" xfId="0" applyFont="1" applyFill="1" applyBorder="1" applyAlignment="1">
      <alignment horizontal="center"/>
    </xf>
    <xf numFmtId="1" fontId="5" fillId="0" borderId="0" xfId="0" applyNumberFormat="1" applyFont="1"/>
    <xf numFmtId="0" fontId="12" fillId="0" borderId="3" xfId="0" applyFont="1" applyBorder="1" applyAlignment="1">
      <alignment horizontal="left" wrapText="1"/>
    </xf>
    <xf numFmtId="0" fontId="12" fillId="0" borderId="3" xfId="0" applyFont="1" applyBorder="1" applyAlignment="1">
      <alignment wrapText="1"/>
    </xf>
    <xf numFmtId="1" fontId="5" fillId="0" borderId="5" xfId="0" applyNumberFormat="1" applyFont="1" applyBorder="1"/>
    <xf numFmtId="0" fontId="6" fillId="0" borderId="3" xfId="0" applyFont="1" applyBorder="1" applyAlignment="1">
      <alignment horizontal="left" wrapText="1"/>
    </xf>
    <xf numFmtId="1" fontId="1" fillId="0" borderId="5" xfId="0" applyNumberFormat="1" applyFont="1" applyBorder="1"/>
    <xf numFmtId="1" fontId="5" fillId="0" borderId="3" xfId="1" applyNumberFormat="1" applyFont="1" applyBorder="1"/>
    <xf numFmtId="1" fontId="1" fillId="0" borderId="8" xfId="0" applyNumberFormat="1" applyFont="1" applyBorder="1"/>
    <xf numFmtId="3" fontId="1" fillId="0" borderId="8" xfId="0" applyNumberFormat="1" applyFont="1" applyBorder="1"/>
    <xf numFmtId="49" fontId="1" fillId="0" borderId="3" xfId="0" applyNumberFormat="1" applyFont="1" applyBorder="1" applyAlignment="1">
      <alignment horizontal="left"/>
    </xf>
    <xf numFmtId="1" fontId="7" fillId="0" borderId="3" xfId="1" applyNumberFormat="1" applyFont="1" applyBorder="1"/>
    <xf numFmtId="1" fontId="7" fillId="0" borderId="4" xfId="0" applyNumberFormat="1" applyFont="1" applyBorder="1"/>
    <xf numFmtId="0" fontId="7" fillId="0" borderId="0" xfId="0" applyFont="1" applyAlignment="1">
      <alignment horizontal="center"/>
    </xf>
    <xf numFmtId="0" fontId="5" fillId="0" borderId="6" xfId="0" applyFont="1" applyBorder="1" applyAlignment="1">
      <alignment horizontal="center"/>
    </xf>
    <xf numFmtId="0" fontId="1" fillId="0" borderId="6" xfId="0"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left"/>
    </xf>
    <xf numFmtId="0" fontId="5" fillId="0" borderId="6" xfId="0" applyFont="1" applyBorder="1"/>
    <xf numFmtId="0" fontId="1" fillId="0" borderId="5" xfId="0" applyFont="1" applyBorder="1" applyAlignment="1">
      <alignment horizontal="center"/>
    </xf>
    <xf numFmtId="164" fontId="7" fillId="0" borderId="5" xfId="0" applyNumberFormat="1" applyFont="1" applyBorder="1"/>
    <xf numFmtId="0" fontId="13" fillId="0" borderId="3" xfId="0" applyFont="1" applyBorder="1"/>
    <xf numFmtId="0" fontId="7" fillId="0" borderId="6" xfId="0" applyFont="1" applyBorder="1" applyAlignment="1">
      <alignment horizontal="center"/>
    </xf>
    <xf numFmtId="49" fontId="1" fillId="0" borderId="3" xfId="1" applyNumberFormat="1" applyFont="1" applyBorder="1"/>
    <xf numFmtId="1" fontId="5" fillId="0" borderId="9" xfId="0" applyNumberFormat="1" applyFont="1" applyBorder="1" applyAlignment="1">
      <alignment horizontal="left"/>
    </xf>
    <xf numFmtId="164" fontId="6" fillId="0" borderId="5" xfId="0" applyNumberFormat="1" applyFont="1" applyBorder="1"/>
    <xf numFmtId="0" fontId="6" fillId="0" borderId="5" xfId="0" applyFont="1" applyBorder="1" applyAlignment="1">
      <alignment horizontal="center"/>
    </xf>
    <xf numFmtId="164" fontId="1" fillId="0" borderId="0" xfId="0" applyNumberFormat="1" applyFont="1"/>
    <xf numFmtId="0" fontId="7" fillId="0" borderId="6" xfId="0" applyFont="1" applyBorder="1" applyAlignment="1">
      <alignment horizontal="left"/>
    </xf>
    <xf numFmtId="0" fontId="7" fillId="0" borderId="6" xfId="0" applyFont="1" applyBorder="1"/>
    <xf numFmtId="164" fontId="5" fillId="0" borderId="0" xfId="0" applyNumberFormat="1" applyFont="1"/>
    <xf numFmtId="0" fontId="5" fillId="0" borderId="0" xfId="0" applyFont="1" applyAlignment="1">
      <alignment horizontal="center"/>
    </xf>
    <xf numFmtId="0" fontId="7" fillId="0" borderId="9" xfId="0" applyFont="1" applyBorder="1" applyAlignment="1">
      <alignment horizontal="center"/>
    </xf>
    <xf numFmtId="0" fontId="1" fillId="2" borderId="6" xfId="0" applyFont="1" applyFill="1" applyBorder="1" applyAlignment="1">
      <alignment horizontal="center"/>
    </xf>
    <xf numFmtId="0" fontId="1" fillId="0" borderId="10" xfId="0" applyFont="1" applyBorder="1" applyAlignment="1">
      <alignment horizontal="center"/>
    </xf>
    <xf numFmtId="0" fontId="2" fillId="0" borderId="3" xfId="0" applyFont="1" applyBorder="1"/>
    <xf numFmtId="1" fontId="1" fillId="0" borderId="8" xfId="0" applyNumberFormat="1" applyFont="1" applyBorder="1" applyAlignment="1">
      <alignment horizontal="left"/>
    </xf>
    <xf numFmtId="164" fontId="1" fillId="0" borderId="8" xfId="0" applyNumberFormat="1" applyFont="1" applyBorder="1"/>
    <xf numFmtId="164" fontId="1" fillId="0" borderId="8" xfId="0" applyNumberFormat="1" applyFont="1" applyBorder="1" applyAlignment="1">
      <alignment horizontal="center"/>
    </xf>
    <xf numFmtId="2" fontId="1" fillId="0" borderId="8" xfId="0" applyNumberFormat="1" applyFont="1" applyBorder="1"/>
    <xf numFmtId="0" fontId="1" fillId="0" borderId="8" xfId="0" applyFont="1" applyBorder="1" applyAlignment="1">
      <alignment horizontal="right"/>
    </xf>
    <xf numFmtId="0" fontId="1" fillId="0" borderId="8" xfId="0" applyFont="1" applyBorder="1" applyAlignment="1">
      <alignment horizontal="left"/>
    </xf>
    <xf numFmtId="0" fontId="1" fillId="0" borderId="8" xfId="0" applyFont="1" applyBorder="1"/>
    <xf numFmtId="0" fontId="1" fillId="0" borderId="7" xfId="0" applyFont="1" applyBorder="1"/>
    <xf numFmtId="2" fontId="6" fillId="0" borderId="3" xfId="0" applyNumberFormat="1" applyFont="1" applyBorder="1"/>
    <xf numFmtId="49" fontId="1" fillId="0" borderId="0" xfId="0" applyNumberFormat="1" applyFont="1"/>
    <xf numFmtId="49" fontId="5" fillId="0" borderId="0" xfId="0" applyNumberFormat="1" applyFont="1"/>
    <xf numFmtId="3" fontId="5" fillId="0" borderId="0" xfId="0" applyNumberFormat="1" applyFont="1"/>
    <xf numFmtId="0" fontId="14" fillId="0" borderId="3" xfId="0" applyFont="1" applyBorder="1"/>
    <xf numFmtId="0" fontId="6" fillId="0" borderId="6" xfId="0" applyFont="1" applyBorder="1" applyAlignment="1">
      <alignment horizontal="left"/>
    </xf>
    <xf numFmtId="0" fontId="6" fillId="0" borderId="6" xfId="0" applyFont="1" applyBorder="1"/>
    <xf numFmtId="14" fontId="1" fillId="0" borderId="3" xfId="0" applyNumberFormat="1" applyFont="1" applyBorder="1"/>
    <xf numFmtId="14" fontId="1" fillId="0" borderId="3" xfId="0" applyNumberFormat="1" applyFont="1" applyBorder="1" applyAlignment="1">
      <alignment horizontal="center"/>
    </xf>
    <xf numFmtId="0" fontId="5" fillId="0" borderId="2" xfId="0" applyFont="1" applyBorder="1" applyAlignment="1">
      <alignment horizontal="center"/>
    </xf>
    <xf numFmtId="49" fontId="5" fillId="0" borderId="3" xfId="0" applyNumberFormat="1" applyFont="1" applyBorder="1" applyAlignment="1">
      <alignment horizontal="left"/>
    </xf>
    <xf numFmtId="0" fontId="1" fillId="0" borderId="5" xfId="0" applyFont="1" applyBorder="1" applyAlignment="1">
      <alignment horizontal="left"/>
    </xf>
    <xf numFmtId="0" fontId="1" fillId="0" borderId="7" xfId="0" applyFont="1" applyBorder="1" applyAlignment="1">
      <alignment horizontal="center"/>
    </xf>
    <xf numFmtId="0" fontId="1" fillId="0" borderId="11" xfId="0" applyFont="1" applyBorder="1" applyAlignment="1">
      <alignment horizontal="center"/>
    </xf>
    <xf numFmtId="0" fontId="1" fillId="0" borderId="2" xfId="0" applyFont="1" applyBorder="1" applyAlignment="1">
      <alignment horizontal="center"/>
    </xf>
    <xf numFmtId="0" fontId="5" fillId="2" borderId="3" xfId="0" applyFont="1" applyFill="1" applyBorder="1" applyAlignment="1">
      <alignment horizontal="center"/>
    </xf>
    <xf numFmtId="0" fontId="15" fillId="0" borderId="3" xfId="0" applyFont="1" applyBorder="1"/>
    <xf numFmtId="0" fontId="5" fillId="0" borderId="0" xfId="0" applyFont="1" applyAlignment="1">
      <alignment horizontal="left"/>
    </xf>
    <xf numFmtId="164" fontId="5" fillId="0" borderId="3" xfId="0" applyNumberFormat="1" applyFont="1" applyBorder="1" applyAlignment="1">
      <alignment horizontal="right"/>
    </xf>
    <xf numFmtId="164" fontId="7" fillId="0" borderId="0" xfId="0" applyNumberFormat="1" applyFont="1"/>
    <xf numFmtId="1" fontId="6" fillId="0" borderId="3" xfId="1" applyNumberFormat="1" applyFont="1" applyBorder="1"/>
    <xf numFmtId="0" fontId="6" fillId="0" borderId="0" xfId="0" applyFont="1" applyAlignment="1">
      <alignment horizontal="left"/>
    </xf>
    <xf numFmtId="1" fontId="5" fillId="0" borderId="6" xfId="0" applyNumberFormat="1" applyFont="1" applyBorder="1"/>
    <xf numFmtId="1" fontId="7" fillId="0" borderId="6" xfId="0" applyNumberFormat="1" applyFont="1" applyBorder="1"/>
    <xf numFmtId="0" fontId="16" fillId="0" borderId="3" xfId="0" applyFont="1" applyBorder="1" applyAlignment="1">
      <alignment horizontal="left"/>
    </xf>
    <xf numFmtId="1" fontId="7" fillId="0" borderId="5" xfId="0" applyNumberFormat="1" applyFont="1" applyBorder="1"/>
    <xf numFmtId="0" fontId="8" fillId="0" borderId="0" xfId="0" applyFont="1"/>
    <xf numFmtId="0" fontId="6" fillId="0" borderId="7" xfId="0" applyFont="1" applyBorder="1" applyAlignment="1">
      <alignment horizontal="center"/>
    </xf>
    <xf numFmtId="1" fontId="1" fillId="0" borderId="6" xfId="0" applyNumberFormat="1" applyFont="1" applyBorder="1" applyAlignment="1">
      <alignment horizontal="left"/>
    </xf>
    <xf numFmtId="1" fontId="17" fillId="0" borderId="3" xfId="0" applyNumberFormat="1" applyFont="1" applyBorder="1"/>
    <xf numFmtId="1" fontId="19" fillId="0" borderId="3" xfId="2" applyNumberFormat="1" applyFont="1" applyFill="1" applyBorder="1" applyAlignment="1">
      <alignment horizontal="left" vertical="center"/>
    </xf>
    <xf numFmtId="49" fontId="7" fillId="0" borderId="0" xfId="0" applyNumberFormat="1" applyFont="1"/>
    <xf numFmtId="1" fontId="1" fillId="0" borderId="1" xfId="0" applyNumberFormat="1" applyFont="1" applyBorder="1"/>
    <xf numFmtId="164" fontId="1" fillId="0" borderId="1" xfId="0" applyNumberFormat="1" applyFont="1" applyBorder="1"/>
    <xf numFmtId="0" fontId="1" fillId="0" borderId="2" xfId="0" applyFont="1" applyBorder="1" applyAlignment="1">
      <alignment horizontal="left"/>
    </xf>
    <xf numFmtId="0" fontId="1" fillId="0" borderId="2" xfId="0" applyFont="1" applyBorder="1"/>
    <xf numFmtId="164" fontId="5" fillId="0" borderId="1" xfId="0" applyNumberFormat="1" applyFont="1" applyBorder="1"/>
    <xf numFmtId="0" fontId="1" fillId="0" borderId="0" xfId="0" applyFont="1" applyAlignment="1">
      <alignment horizontal="left" wrapText="1"/>
    </xf>
    <xf numFmtId="0" fontId="9" fillId="0" borderId="0" xfId="0" applyFont="1" applyAlignment="1">
      <alignment horizontal="left"/>
    </xf>
    <xf numFmtId="1" fontId="1" fillId="0" borderId="3" xfId="1" applyNumberFormat="1" applyFont="1" applyBorder="1" applyAlignment="1">
      <alignment horizontal="left"/>
    </xf>
    <xf numFmtId="1" fontId="5" fillId="0" borderId="8" xfId="1" applyNumberFormat="1" applyFont="1" applyBorder="1"/>
    <xf numFmtId="1" fontId="5" fillId="0" borderId="8" xfId="0" applyNumberFormat="1" applyFont="1" applyBorder="1" applyAlignment="1">
      <alignment horizontal="left"/>
    </xf>
    <xf numFmtId="1" fontId="5" fillId="0" borderId="8" xfId="0" applyNumberFormat="1" applyFont="1" applyBorder="1"/>
    <xf numFmtId="3" fontId="5" fillId="0" borderId="8" xfId="0" applyNumberFormat="1" applyFont="1" applyBorder="1"/>
    <xf numFmtId="164" fontId="5" fillId="0" borderId="8" xfId="0" applyNumberFormat="1" applyFont="1" applyBorder="1"/>
    <xf numFmtId="164" fontId="5" fillId="0" borderId="8" xfId="0" applyNumberFormat="1" applyFont="1" applyBorder="1" applyAlignment="1">
      <alignment horizontal="center"/>
    </xf>
    <xf numFmtId="0" fontId="5" fillId="0" borderId="8" xfId="0" applyFont="1" applyBorder="1" applyAlignment="1">
      <alignment horizontal="right"/>
    </xf>
    <xf numFmtId="0" fontId="5" fillId="0" borderId="7" xfId="0" applyFont="1" applyBorder="1" applyAlignment="1">
      <alignment horizontal="left"/>
    </xf>
    <xf numFmtId="0" fontId="5" fillId="0" borderId="7" xfId="0" applyFont="1" applyBorder="1"/>
    <xf numFmtId="0" fontId="5" fillId="0" borderId="8" xfId="0" applyFont="1" applyBorder="1"/>
    <xf numFmtId="0" fontId="1" fillId="2" borderId="0" xfId="0" applyFont="1" applyFill="1"/>
    <xf numFmtId="0" fontId="1" fillId="3" borderId="0" xfId="0" applyFont="1" applyFill="1"/>
    <xf numFmtId="1" fontId="1" fillId="4" borderId="0" xfId="0" applyNumberFormat="1" applyFont="1" applyFill="1"/>
    <xf numFmtId="1" fontId="1" fillId="5" borderId="0" xfId="0" applyNumberFormat="1" applyFont="1" applyFill="1"/>
    <xf numFmtId="1" fontId="4" fillId="0" borderId="3" xfId="0" applyNumberFormat="1" applyFont="1" applyBorder="1" applyAlignment="1">
      <alignment horizontal="center"/>
    </xf>
    <xf numFmtId="1" fontId="4" fillId="0" borderId="0" xfId="0" applyNumberFormat="1" applyFont="1" applyAlignment="1">
      <alignment horizontal="center"/>
    </xf>
    <xf numFmtId="1" fontId="2" fillId="0" borderId="3" xfId="0" applyNumberFormat="1" applyFont="1" applyBorder="1"/>
    <xf numFmtId="1" fontId="2" fillId="0" borderId="3" xfId="0" applyNumberFormat="1" applyFont="1" applyBorder="1" applyAlignment="1">
      <alignment horizontal="center"/>
    </xf>
    <xf numFmtId="1" fontId="2" fillId="0" borderId="5" xfId="0" applyNumberFormat="1" applyFont="1" applyBorder="1" applyAlignment="1">
      <alignment horizontal="center"/>
    </xf>
    <xf numFmtId="0" fontId="2" fillId="0" borderId="3" xfId="0" applyFont="1" applyBorder="1" applyAlignment="1">
      <alignment horizontal="center"/>
    </xf>
    <xf numFmtId="1" fontId="1" fillId="0" borderId="5" xfId="0" applyNumberFormat="1" applyFont="1" applyBorder="1" applyAlignment="1">
      <alignment horizontal="center"/>
    </xf>
    <xf numFmtId="1" fontId="2" fillId="0" borderId="12" xfId="0" applyNumberFormat="1" applyFont="1" applyBorder="1"/>
    <xf numFmtId="0" fontId="2" fillId="0" borderId="18" xfId="0" applyFont="1" applyBorder="1" applyAlignment="1">
      <alignment vertical="center"/>
    </xf>
    <xf numFmtId="0" fontId="2" fillId="0" borderId="0" xfId="0" applyFont="1" applyAlignment="1">
      <alignment vertical="center"/>
    </xf>
    <xf numFmtId="1" fontId="1" fillId="0" borderId="19" xfId="0" applyNumberFormat="1" applyFont="1" applyBorder="1"/>
    <xf numFmtId="1" fontId="2" fillId="0" borderId="16" xfId="0" applyNumberFormat="1" applyFont="1" applyBorder="1" applyAlignment="1">
      <alignment horizontal="center"/>
    </xf>
    <xf numFmtId="0" fontId="2" fillId="0" borderId="18" xfId="0" applyFont="1" applyBorder="1" applyAlignment="1">
      <alignment horizontal="center"/>
    </xf>
    <xf numFmtId="0" fontId="2" fillId="0" borderId="20" xfId="0" applyFont="1" applyBorder="1" applyAlignment="1">
      <alignment horizontal="center"/>
    </xf>
    <xf numFmtId="0" fontId="2" fillId="0" borderId="21" xfId="0" applyFont="1" applyBorder="1" applyAlignment="1">
      <alignment horizontal="center"/>
    </xf>
    <xf numFmtId="0" fontId="2" fillId="0" borderId="22" xfId="0" applyFont="1" applyBorder="1" applyAlignment="1">
      <alignment horizontal="center"/>
    </xf>
    <xf numFmtId="1" fontId="2" fillId="0" borderId="23" xfId="0" applyNumberFormat="1" applyFont="1" applyBorder="1" applyAlignment="1">
      <alignment horizontal="center"/>
    </xf>
    <xf numFmtId="1" fontId="2" fillId="0" borderId="11" xfId="0" applyNumberFormat="1" applyFont="1" applyBorder="1" applyAlignment="1">
      <alignment horizontal="center"/>
    </xf>
    <xf numFmtId="0" fontId="2" fillId="0" borderId="24" xfId="0" applyFont="1" applyBorder="1" applyAlignment="1">
      <alignment horizontal="center" vertical="center"/>
    </xf>
    <xf numFmtId="0" fontId="2" fillId="0" borderId="18" xfId="0" applyFont="1" applyBorder="1" applyAlignment="1">
      <alignment horizontal="center" vertical="center"/>
    </xf>
    <xf numFmtId="0" fontId="2" fillId="0" borderId="0" xfId="0" applyFont="1" applyAlignment="1">
      <alignment horizontal="center" vertical="center"/>
    </xf>
    <xf numFmtId="1" fontId="1" fillId="0" borderId="12" xfId="0" applyNumberFormat="1" applyFont="1" applyBorder="1"/>
    <xf numFmtId="1" fontId="1" fillId="0" borderId="25" xfId="0" applyNumberFormat="1" applyFont="1" applyBorder="1" applyAlignment="1">
      <alignment horizontal="center"/>
    </xf>
    <xf numFmtId="0" fontId="1" fillId="0" borderId="26" xfId="0" applyFont="1" applyBorder="1" applyAlignment="1">
      <alignment horizontal="center"/>
    </xf>
    <xf numFmtId="0" fontId="1" fillId="0" borderId="27" xfId="0" applyFont="1" applyBorder="1" applyAlignment="1">
      <alignment horizontal="center"/>
    </xf>
    <xf numFmtId="0" fontId="1" fillId="0" borderId="12" xfId="0" applyFont="1" applyBorder="1" applyAlignment="1">
      <alignment horizontal="center"/>
    </xf>
    <xf numFmtId="0" fontId="1" fillId="0" borderId="28" xfId="0" applyFont="1" applyBorder="1" applyAlignment="1">
      <alignment horizontal="center"/>
    </xf>
    <xf numFmtId="1" fontId="1" fillId="0" borderId="28" xfId="0" applyNumberFormat="1" applyFont="1" applyBorder="1" applyAlignment="1">
      <alignment horizontal="center"/>
    </xf>
    <xf numFmtId="1" fontId="1" fillId="0" borderId="29" xfId="0" applyNumberFormat="1" applyFont="1" applyBorder="1"/>
    <xf numFmtId="0" fontId="1" fillId="0" borderId="29" xfId="0" applyFont="1" applyBorder="1" applyAlignment="1">
      <alignment horizontal="center"/>
    </xf>
    <xf numFmtId="0" fontId="1" fillId="0" borderId="30" xfId="0" applyFont="1" applyBorder="1" applyAlignment="1">
      <alignment horizontal="center"/>
    </xf>
    <xf numFmtId="1" fontId="1" fillId="0" borderId="30" xfId="0" applyNumberFormat="1" applyFont="1" applyBorder="1" applyAlignment="1">
      <alignment horizontal="center"/>
    </xf>
    <xf numFmtId="1" fontId="1" fillId="0" borderId="31" xfId="0" applyNumberFormat="1" applyFont="1" applyBorder="1"/>
    <xf numFmtId="1" fontId="1" fillId="0" borderId="32" xfId="0" applyNumberFormat="1" applyFont="1" applyBorder="1" applyAlignment="1">
      <alignment horizontal="center"/>
    </xf>
    <xf numFmtId="0" fontId="1" fillId="0" borderId="33" xfId="0" applyFont="1" applyBorder="1" applyAlignment="1">
      <alignment horizontal="center"/>
    </xf>
    <xf numFmtId="0" fontId="1" fillId="0" borderId="34" xfId="0" applyFont="1" applyBorder="1" applyAlignment="1">
      <alignment horizontal="center"/>
    </xf>
    <xf numFmtId="0" fontId="1" fillId="0" borderId="31" xfId="0" applyFont="1" applyBorder="1" applyAlignment="1">
      <alignment horizontal="center"/>
    </xf>
    <xf numFmtId="0" fontId="1" fillId="0" borderId="35" xfId="0" applyFont="1" applyBorder="1" applyAlignment="1">
      <alignment horizontal="center"/>
    </xf>
    <xf numFmtId="1" fontId="1" fillId="0" borderId="35" xfId="0" applyNumberFormat="1" applyFont="1" applyBorder="1" applyAlignment="1">
      <alignment horizontal="center"/>
    </xf>
    <xf numFmtId="0" fontId="4" fillId="0" borderId="3" xfId="0" applyFont="1" applyBorder="1" applyAlignment="1">
      <alignment horizontal="center"/>
    </xf>
    <xf numFmtId="0" fontId="4" fillId="0" borderId="3" xfId="0" applyFont="1" applyBorder="1"/>
    <xf numFmtId="0" fontId="4" fillId="0" borderId="0" xfId="0" applyFont="1"/>
    <xf numFmtId="0" fontId="20" fillId="0" borderId="0" xfId="0" applyFont="1"/>
    <xf numFmtId="1" fontId="2" fillId="0" borderId="18" xfId="0" applyNumberFormat="1" applyFont="1" applyBorder="1" applyAlignment="1">
      <alignment horizontal="center"/>
    </xf>
    <xf numFmtId="0" fontId="2" fillId="0" borderId="0" xfId="0" applyFont="1" applyAlignment="1">
      <alignment horizontal="left" vertical="center"/>
    </xf>
    <xf numFmtId="1" fontId="1" fillId="0" borderId="18" xfId="0" applyNumberFormat="1" applyFont="1" applyBorder="1"/>
    <xf numFmtId="1" fontId="2" fillId="0" borderId="37" xfId="0" applyNumberFormat="1" applyFont="1" applyBorder="1" applyAlignment="1">
      <alignment horizontal="center"/>
    </xf>
    <xf numFmtId="0" fontId="2" fillId="0" borderId="38" xfId="0" applyFont="1" applyBorder="1" applyAlignment="1">
      <alignment horizontal="center"/>
    </xf>
    <xf numFmtId="0" fontId="2" fillId="0" borderId="39" xfId="0" applyFont="1" applyBorder="1" applyAlignment="1">
      <alignment horizontal="center"/>
    </xf>
    <xf numFmtId="1" fontId="2" fillId="0" borderId="40" xfId="0" applyNumberFormat="1" applyFont="1" applyBorder="1" applyAlignment="1">
      <alignment horizontal="center"/>
    </xf>
    <xf numFmtId="0" fontId="2" fillId="0" borderId="41" xfId="0" applyFont="1" applyBorder="1" applyAlignment="1">
      <alignment horizontal="center"/>
    </xf>
    <xf numFmtId="1" fontId="2" fillId="0" borderId="42" xfId="0" applyNumberFormat="1" applyFont="1" applyBorder="1" applyAlignment="1">
      <alignment horizontal="center"/>
    </xf>
    <xf numFmtId="1" fontId="1" fillId="0" borderId="12" xfId="0" applyNumberFormat="1" applyFont="1" applyBorder="1" applyAlignment="1">
      <alignment horizontal="center"/>
    </xf>
    <xf numFmtId="0" fontId="1" fillId="0" borderId="44" xfId="0" applyFont="1" applyBorder="1" applyAlignment="1">
      <alignment horizontal="center"/>
    </xf>
    <xf numFmtId="1" fontId="1" fillId="0" borderId="29" xfId="0" applyNumberFormat="1" applyFont="1" applyBorder="1" applyAlignment="1">
      <alignment horizontal="center"/>
    </xf>
    <xf numFmtId="0" fontId="1" fillId="0" borderId="45" xfId="0" applyFont="1" applyBorder="1" applyAlignment="1">
      <alignment horizontal="center"/>
    </xf>
    <xf numFmtId="1" fontId="1" fillId="0" borderId="31" xfId="0" applyNumberFormat="1" applyFont="1" applyBorder="1" applyAlignment="1">
      <alignment horizontal="center"/>
    </xf>
    <xf numFmtId="0" fontId="1" fillId="0" borderId="41" xfId="0" applyFont="1" applyBorder="1" applyAlignment="1">
      <alignment horizontal="center"/>
    </xf>
    <xf numFmtId="0" fontId="4" fillId="0" borderId="0" xfId="0" applyFont="1" applyAlignment="1">
      <alignment horizontal="left"/>
    </xf>
    <xf numFmtId="0" fontId="4" fillId="0" borderId="0" xfId="0" applyFont="1" applyAlignment="1">
      <alignment horizontal="center"/>
    </xf>
    <xf numFmtId="1" fontId="2" fillId="0" borderId="3" xfId="0" applyNumberFormat="1" applyFont="1" applyBorder="1" applyAlignment="1">
      <alignment horizontal="center"/>
    </xf>
    <xf numFmtId="0" fontId="2" fillId="0" borderId="3" xfId="0" applyFont="1" applyBorder="1" applyAlignment="1">
      <alignment horizontal="center"/>
    </xf>
    <xf numFmtId="1" fontId="2" fillId="0" borderId="0" xfId="0" applyNumberFormat="1" applyFont="1" applyAlignment="1">
      <alignment horizontal="center"/>
    </xf>
    <xf numFmtId="0" fontId="2" fillId="0" borderId="0" xfId="0" applyFont="1" applyAlignment="1">
      <alignment horizontal="center"/>
    </xf>
    <xf numFmtId="1" fontId="2" fillId="0" borderId="4" xfId="0" applyNumberFormat="1" applyFont="1" applyBorder="1" applyAlignment="1">
      <alignment horizontal="center"/>
    </xf>
    <xf numFmtId="1" fontId="2" fillId="0" borderId="6" xfId="0" applyNumberFormat="1" applyFont="1" applyBorder="1" applyAlignment="1">
      <alignment horizontal="center"/>
    </xf>
    <xf numFmtId="1" fontId="20" fillId="0" borderId="4" xfId="0" applyNumberFormat="1" applyFont="1" applyBorder="1" applyAlignment="1">
      <alignment horizontal="center"/>
    </xf>
    <xf numFmtId="1" fontId="20" fillId="0" borderId="5" xfId="0" applyNumberFormat="1" applyFont="1" applyBorder="1" applyAlignment="1">
      <alignment horizontal="center"/>
    </xf>
    <xf numFmtId="1" fontId="2" fillId="0" borderId="13" xfId="0" applyNumberFormat="1" applyFont="1" applyBorder="1" applyAlignment="1">
      <alignment horizontal="center"/>
    </xf>
    <xf numFmtId="1" fontId="2" fillId="0" borderId="36" xfId="0" applyNumberFormat="1" applyFont="1" applyBorder="1" applyAlignment="1">
      <alignment horizontal="center"/>
    </xf>
    <xf numFmtId="0" fontId="2" fillId="0" borderId="28" xfId="0" applyFont="1" applyBorder="1" applyAlignment="1">
      <alignment horizontal="center"/>
    </xf>
    <xf numFmtId="0" fontId="2" fillId="0" borderId="36" xfId="0" applyFont="1" applyBorder="1" applyAlignment="1">
      <alignment horizontal="center"/>
    </xf>
    <xf numFmtId="0" fontId="2" fillId="0" borderId="20" xfId="0" applyFont="1" applyBorder="1" applyAlignment="1">
      <alignment horizontal="center" vertical="center"/>
    </xf>
    <xf numFmtId="0" fontId="2" fillId="0" borderId="43" xfId="0" applyFont="1" applyBorder="1" applyAlignment="1">
      <alignment horizontal="center" vertical="center"/>
    </xf>
    <xf numFmtId="0" fontId="2" fillId="0" borderId="0" xfId="0" applyFont="1" applyAlignment="1">
      <alignment horizontal="center" vertical="center"/>
    </xf>
    <xf numFmtId="0" fontId="1" fillId="0" borderId="0" xfId="0" applyFont="1" applyAlignment="1">
      <alignment horizontal="center"/>
    </xf>
    <xf numFmtId="1" fontId="2" fillId="0" borderId="14" xfId="0" applyNumberFormat="1"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2" fillId="0" borderId="15" xfId="0" applyFont="1" applyBorder="1" applyAlignment="1">
      <alignment horizontal="center" vertical="center"/>
    </xf>
    <xf numFmtId="0" fontId="2" fillId="0" borderId="17" xfId="0" applyFont="1" applyBorder="1" applyAlignment="1">
      <alignment horizontal="center" vertical="center"/>
    </xf>
  </cellXfs>
  <cellStyles count="3">
    <cellStyle name="Hipervínculo" xfId="2" builtinId="8"/>
    <cellStyle name="Normal" xfId="0" builtinId="0"/>
    <cellStyle name="Normal 2" xfId="1" xr:uid="{1EB6AA64-FCE5-4283-920F-0701736C39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CBE77-088F-4018-A3D1-166299427720}">
  <dimension ref="A1:T684"/>
  <sheetViews>
    <sheetView tabSelected="1" zoomScale="62" workbookViewId="0">
      <selection activeCell="D3" sqref="D3"/>
    </sheetView>
  </sheetViews>
  <sheetFormatPr baseColWidth="10" defaultRowHeight="14.4"/>
  <sheetData>
    <row r="1" spans="1:20">
      <c r="A1" s="1"/>
      <c r="B1" s="1"/>
      <c r="C1" s="1"/>
      <c r="D1" s="2" t="s">
        <v>0</v>
      </c>
      <c r="E1" s="2"/>
      <c r="F1" s="2"/>
      <c r="G1" s="1"/>
      <c r="H1" s="3"/>
      <c r="I1" s="4"/>
      <c r="J1" s="5">
        <v>46233</v>
      </c>
      <c r="K1" s="1"/>
      <c r="L1" s="1"/>
      <c r="M1" s="3"/>
      <c r="N1" s="6"/>
      <c r="O1" s="3"/>
      <c r="P1" s="3"/>
      <c r="Q1" s="3"/>
      <c r="R1" s="3"/>
      <c r="S1" s="3"/>
      <c r="T1" s="3"/>
    </row>
    <row r="2" spans="1:20">
      <c r="A2" s="1"/>
      <c r="B2" s="1"/>
      <c r="C2" s="1"/>
      <c r="D2" s="2" t="s">
        <v>1</v>
      </c>
      <c r="E2" s="2"/>
      <c r="F2" s="2"/>
      <c r="G2" s="1"/>
      <c r="H2" s="3"/>
      <c r="I2" s="4"/>
      <c r="J2" s="3" t="s">
        <v>2</v>
      </c>
      <c r="K2" s="1"/>
      <c r="L2" s="1"/>
      <c r="M2" s="3"/>
      <c r="N2" s="6"/>
      <c r="O2" s="3"/>
      <c r="P2" s="3"/>
      <c r="Q2" s="3"/>
      <c r="R2" s="3"/>
      <c r="S2" s="3"/>
      <c r="T2" s="7"/>
    </row>
    <row r="3" spans="1:20">
      <c r="A3" s="1"/>
      <c r="B3" s="1"/>
      <c r="C3" s="8"/>
      <c r="D3" s="2" t="s">
        <v>3</v>
      </c>
      <c r="E3" s="2"/>
      <c r="F3" s="2"/>
      <c r="G3" s="1"/>
      <c r="H3" s="280"/>
      <c r="I3" s="280"/>
      <c r="J3" s="280"/>
      <c r="K3" s="1"/>
      <c r="L3" s="5"/>
      <c r="M3" s="3"/>
      <c r="N3" s="6"/>
      <c r="O3" s="3"/>
      <c r="P3" s="1"/>
      <c r="Q3" s="3"/>
      <c r="R3" s="3"/>
      <c r="S3" s="3"/>
      <c r="T3" s="3"/>
    </row>
    <row r="4" spans="1:20">
      <c r="A4" s="1"/>
      <c r="B4" s="1"/>
      <c r="C4" s="1"/>
      <c r="D4" s="9" t="s">
        <v>4</v>
      </c>
      <c r="E4" s="9"/>
      <c r="F4" s="9"/>
      <c r="G4" s="1"/>
      <c r="H4" s="3"/>
      <c r="I4" s="4"/>
      <c r="J4" s="3"/>
      <c r="K4" s="1"/>
      <c r="L4" s="10">
        <f ca="1">DATEDIF(H19,TODAY(),"y")</f>
        <v>8</v>
      </c>
      <c r="M4" s="1"/>
      <c r="N4" s="11"/>
      <c r="O4" s="3"/>
      <c r="P4" s="3"/>
      <c r="Q4" s="3"/>
      <c r="R4" s="3"/>
      <c r="S4" s="3"/>
      <c r="T4" s="3"/>
    </row>
    <row r="5" spans="1:20">
      <c r="A5" s="1"/>
      <c r="B5" s="1"/>
      <c r="C5" s="1"/>
      <c r="D5" s="12">
        <v>202608</v>
      </c>
      <c r="E5" s="12"/>
      <c r="F5" s="12"/>
      <c r="G5" s="1"/>
      <c r="H5" s="3"/>
      <c r="I5" s="4"/>
      <c r="J5" s="1"/>
      <c r="K5" s="1"/>
      <c r="L5" s="1"/>
      <c r="M5" s="3"/>
      <c r="N5" s="6"/>
      <c r="O5" s="3"/>
      <c r="P5" s="3"/>
      <c r="Q5" s="3"/>
      <c r="R5" s="3"/>
      <c r="S5" s="3"/>
      <c r="T5" s="3"/>
    </row>
    <row r="6" spans="1:20">
      <c r="A6" s="1"/>
      <c r="B6" s="1"/>
      <c r="C6" s="1"/>
      <c r="D6" s="1"/>
      <c r="E6" s="1"/>
      <c r="F6" s="1"/>
      <c r="G6" s="1"/>
      <c r="H6" s="3"/>
      <c r="I6" s="4"/>
      <c r="J6" s="3"/>
      <c r="K6" s="1"/>
      <c r="L6" s="1"/>
      <c r="M6" s="3"/>
      <c r="N6" s="6"/>
      <c r="O6" s="3"/>
      <c r="P6" s="3"/>
      <c r="Q6" s="10"/>
      <c r="R6" s="3"/>
      <c r="S6" s="3"/>
      <c r="T6" s="3"/>
    </row>
    <row r="7" spans="1:20">
      <c r="A7" s="13"/>
      <c r="B7" s="13"/>
      <c r="C7" s="13"/>
      <c r="D7" s="14"/>
      <c r="E7" s="14"/>
      <c r="F7" s="14"/>
      <c r="G7" s="14"/>
      <c r="H7" s="15"/>
      <c r="I7" s="12"/>
      <c r="J7" s="16"/>
      <c r="K7" s="14"/>
      <c r="L7" s="14"/>
      <c r="M7" s="17"/>
      <c r="N7" s="18"/>
      <c r="O7" s="3"/>
      <c r="P7" s="3"/>
      <c r="Q7" s="3"/>
      <c r="R7" s="3"/>
      <c r="S7" s="3"/>
      <c r="T7" s="3"/>
    </row>
    <row r="8" spans="1:20">
      <c r="A8" s="1"/>
      <c r="B8" s="1"/>
      <c r="C8" s="1"/>
      <c r="D8" s="1"/>
      <c r="E8" s="1"/>
      <c r="F8" s="1"/>
      <c r="G8" s="1"/>
      <c r="H8" s="3"/>
      <c r="I8" s="4"/>
      <c r="J8" s="3"/>
      <c r="K8" s="1"/>
      <c r="L8" s="1"/>
      <c r="M8" s="3"/>
      <c r="N8" s="6"/>
      <c r="O8" s="3"/>
      <c r="P8" s="3"/>
      <c r="Q8" s="3"/>
      <c r="R8" s="3"/>
      <c r="S8" s="3"/>
      <c r="T8" s="3"/>
    </row>
    <row r="9" spans="1:20">
      <c r="A9" s="19" t="s">
        <v>5</v>
      </c>
      <c r="B9" s="19" t="s">
        <v>6</v>
      </c>
      <c r="C9" s="19" t="s">
        <v>7</v>
      </c>
      <c r="D9" s="20" t="s">
        <v>8</v>
      </c>
      <c r="E9" s="20" t="s">
        <v>9</v>
      </c>
      <c r="F9" s="20" t="s">
        <v>10</v>
      </c>
      <c r="G9" s="19" t="s">
        <v>11</v>
      </c>
      <c r="H9" s="21" t="s">
        <v>12</v>
      </c>
      <c r="I9" s="22" t="s">
        <v>13</v>
      </c>
      <c r="J9" s="21" t="s">
        <v>14</v>
      </c>
      <c r="K9" s="19" t="s">
        <v>15</v>
      </c>
      <c r="L9" s="19" t="s">
        <v>16</v>
      </c>
      <c r="M9" s="22" t="s">
        <v>17</v>
      </c>
      <c r="N9" s="22" t="s">
        <v>18</v>
      </c>
      <c r="O9" s="21" t="s">
        <v>19</v>
      </c>
      <c r="P9" s="21" t="s">
        <v>20</v>
      </c>
      <c r="Q9" s="21" t="s">
        <v>21</v>
      </c>
      <c r="R9" s="21" t="s">
        <v>22</v>
      </c>
      <c r="S9" s="21" t="s">
        <v>23</v>
      </c>
      <c r="T9" s="23" t="s">
        <v>24</v>
      </c>
    </row>
    <row r="10" spans="1:20">
      <c r="A10" s="24" t="s">
        <v>25</v>
      </c>
      <c r="B10" s="25" t="s">
        <v>26</v>
      </c>
      <c r="C10" s="25" t="s">
        <v>27</v>
      </c>
      <c r="D10" s="25" t="s">
        <v>28</v>
      </c>
      <c r="E10" s="25" t="s">
        <v>29</v>
      </c>
      <c r="F10" s="25"/>
      <c r="G10" s="26">
        <v>48705625</v>
      </c>
      <c r="H10" s="27">
        <v>37043</v>
      </c>
      <c r="I10" s="28"/>
      <c r="J10" s="27">
        <v>22742</v>
      </c>
      <c r="K10" s="25">
        <f>(DAYS360(J10,$K$1))/360</f>
        <v>-62.266666666666666</v>
      </c>
      <c r="L10" s="25">
        <f>(DAYS360(H10,$K$1))/360</f>
        <v>-101.41944444444445</v>
      </c>
      <c r="M10" s="29">
        <v>3</v>
      </c>
      <c r="N10" s="30" t="str">
        <f t="shared" ref="N10:N73" si="0">IF(M10=3,"SALARIO INTEGRAL",IF(M10=2,"TERMINO INDEFINIDO",IF(M10=1,"TERMINO FIJO",IF(M10="2_N","TERMINO INDEFINIDO NUEVO","OTRO"))))</f>
        <v>SALARIO INTEGRAL</v>
      </c>
      <c r="O10" s="29">
        <v>13</v>
      </c>
      <c r="P10" s="29">
        <v>5</v>
      </c>
      <c r="Q10" s="29" t="s">
        <v>30</v>
      </c>
      <c r="R10" s="29">
        <v>1</v>
      </c>
      <c r="S10" s="31">
        <v>7</v>
      </c>
      <c r="T10" s="32">
        <v>1</v>
      </c>
    </row>
    <row r="11" spans="1:20">
      <c r="A11" s="33" t="s">
        <v>31</v>
      </c>
      <c r="B11" s="34">
        <v>1082747544</v>
      </c>
      <c r="C11" s="35" t="s">
        <v>32</v>
      </c>
      <c r="D11" s="36" t="s">
        <v>33</v>
      </c>
      <c r="E11" s="36" t="s">
        <v>29</v>
      </c>
      <c r="F11" s="36"/>
      <c r="G11" s="37">
        <v>5637178.5600000005</v>
      </c>
      <c r="H11" s="38">
        <v>42795</v>
      </c>
      <c r="I11" s="39"/>
      <c r="J11" s="38">
        <v>33298</v>
      </c>
      <c r="K11" s="36">
        <f>(DAYS360(J11,$K$1))/360</f>
        <v>-91.169444444444451</v>
      </c>
      <c r="L11" s="36">
        <f>(DAYS360(H11,$K$1))/360</f>
        <v>-117.16944444444445</v>
      </c>
      <c r="M11" s="40" t="s">
        <v>34</v>
      </c>
      <c r="N11" s="41" t="str">
        <f t="shared" si="0"/>
        <v>TERMINO INDEFINIDO NUEVO</v>
      </c>
      <c r="O11" s="42">
        <v>13</v>
      </c>
      <c r="P11" s="42">
        <v>4</v>
      </c>
      <c r="Q11" s="35" t="s">
        <v>35</v>
      </c>
      <c r="R11" s="35">
        <v>1</v>
      </c>
      <c r="S11" s="43">
        <v>5</v>
      </c>
      <c r="T11" s="42">
        <v>6</v>
      </c>
    </row>
    <row r="12" spans="1:20">
      <c r="A12" s="44" t="s">
        <v>36</v>
      </c>
      <c r="B12" s="45">
        <v>98394093</v>
      </c>
      <c r="C12" s="44" t="s">
        <v>37</v>
      </c>
      <c r="D12" s="44" t="s">
        <v>38</v>
      </c>
      <c r="E12" s="44" t="s">
        <v>29</v>
      </c>
      <c r="F12" s="44" t="s">
        <v>39</v>
      </c>
      <c r="G12" s="46">
        <v>3707009.3133</v>
      </c>
      <c r="H12" s="47">
        <v>44986</v>
      </c>
      <c r="I12" s="48"/>
      <c r="J12" s="47">
        <v>27892</v>
      </c>
      <c r="K12" s="44">
        <f>(DAYS360(J12,$K$1))/360</f>
        <v>-76.36666666666666</v>
      </c>
      <c r="L12" s="44">
        <f>(DAYS360(H12,$K$1))/360</f>
        <v>-123.16944444444445</v>
      </c>
      <c r="M12" s="49" t="s">
        <v>34</v>
      </c>
      <c r="N12" s="50" t="str">
        <f>IF(M12=3,"SALARIO INTEGRAL",IF(M12=2,"TERMINO INDEFINIDO",IF(M12=1,"TERMINO FIJO",IF(M12="2_N","TERMINO INDEFINIDO NUEVO","OTRO"))))</f>
        <v>TERMINO INDEFINIDO NUEVO</v>
      </c>
      <c r="O12" s="51">
        <v>50601</v>
      </c>
      <c r="P12" s="51">
        <v>4</v>
      </c>
      <c r="Q12" s="51" t="s">
        <v>30</v>
      </c>
      <c r="R12" s="51">
        <v>1</v>
      </c>
      <c r="S12" s="52">
        <v>2</v>
      </c>
      <c r="T12" s="53">
        <v>4</v>
      </c>
    </row>
    <row r="13" spans="1:20">
      <c r="A13" s="25" t="s">
        <v>40</v>
      </c>
      <c r="B13" s="54">
        <v>79300123</v>
      </c>
      <c r="C13" s="55" t="s">
        <v>41</v>
      </c>
      <c r="D13" s="25" t="s">
        <v>42</v>
      </c>
      <c r="E13" s="25" t="s">
        <v>43</v>
      </c>
      <c r="F13" s="25" t="s">
        <v>44</v>
      </c>
      <c r="G13" s="26">
        <v>26768143</v>
      </c>
      <c r="H13" s="27">
        <v>33217</v>
      </c>
      <c r="I13" s="28"/>
      <c r="J13" s="27">
        <v>23471</v>
      </c>
      <c r="K13" s="25">
        <f>(DAYS360(J13,$K$1))/360</f>
        <v>-64.261111111111106</v>
      </c>
      <c r="L13" s="25">
        <f>(DAYS360(H13,$K$1))/360</f>
        <v>-90.944444444444443</v>
      </c>
      <c r="M13" s="29">
        <v>3</v>
      </c>
      <c r="N13" s="30" t="str">
        <f t="shared" si="0"/>
        <v>SALARIO INTEGRAL</v>
      </c>
      <c r="O13" s="29">
        <v>202</v>
      </c>
      <c r="P13" s="29">
        <v>4</v>
      </c>
      <c r="Q13" s="29" t="s">
        <v>30</v>
      </c>
      <c r="R13" s="29">
        <v>1</v>
      </c>
      <c r="S13" s="31">
        <v>6</v>
      </c>
      <c r="T13" s="32">
        <v>6</v>
      </c>
    </row>
    <row r="14" spans="1:20">
      <c r="A14" s="25" t="s">
        <v>45</v>
      </c>
      <c r="B14" s="25" t="s">
        <v>46</v>
      </c>
      <c r="C14" s="25" t="s">
        <v>47</v>
      </c>
      <c r="D14" s="25" t="s">
        <v>48</v>
      </c>
      <c r="E14" s="25" t="s">
        <v>43</v>
      </c>
      <c r="F14" s="25"/>
      <c r="G14" s="26">
        <v>6967259.5154535007</v>
      </c>
      <c r="H14" s="27">
        <v>36601</v>
      </c>
      <c r="I14" s="28"/>
      <c r="J14" s="27">
        <v>29044</v>
      </c>
      <c r="K14" s="25">
        <f t="shared" ref="K14:K27" si="1">(DAYS360(J14,$K$1))/360</f>
        <v>-79.522222222222226</v>
      </c>
      <c r="L14" s="25">
        <f t="shared" ref="L14:L27" si="2">(DAYS360(H14,$K$1))/360</f>
        <v>-100.21111111111111</v>
      </c>
      <c r="M14" s="29">
        <v>2</v>
      </c>
      <c r="N14" s="30" t="str">
        <f t="shared" si="0"/>
        <v>TERMINO INDEFINIDO</v>
      </c>
      <c r="O14" s="29">
        <v>202</v>
      </c>
      <c r="P14" s="29">
        <v>5</v>
      </c>
      <c r="Q14" s="29" t="s">
        <v>35</v>
      </c>
      <c r="R14" s="29">
        <v>1</v>
      </c>
      <c r="S14" s="31">
        <v>5</v>
      </c>
      <c r="T14" s="32">
        <v>4</v>
      </c>
    </row>
    <row r="15" spans="1:20">
      <c r="A15" s="25" t="s">
        <v>45</v>
      </c>
      <c r="B15" s="54">
        <v>12984873</v>
      </c>
      <c r="C15" s="25" t="s">
        <v>49</v>
      </c>
      <c r="D15" s="25" t="s">
        <v>48</v>
      </c>
      <c r="E15" s="25" t="s">
        <v>43</v>
      </c>
      <c r="F15" s="25" t="s">
        <v>50</v>
      </c>
      <c r="G15" s="26">
        <v>6967259.7986902911</v>
      </c>
      <c r="H15" s="27">
        <v>35156</v>
      </c>
      <c r="I15" s="28"/>
      <c r="J15" s="27">
        <v>23615</v>
      </c>
      <c r="K15" s="25">
        <f>(DAYS360(J15,$K$1))/360</f>
        <v>-64.655555555555551</v>
      </c>
      <c r="L15" s="25">
        <f>(DAYS360(H15,$K$1))/360</f>
        <v>-96.25277777777778</v>
      </c>
      <c r="M15" s="56">
        <v>2</v>
      </c>
      <c r="N15" s="57" t="str">
        <f>IF(M15=3,"SALARIO INTEGRAL",IF(M15=2,"TERMINO INDEFINIDO",IF(M15=1,"TERMINO FIJO",IF(M15="2_N","TERMINO INDEFINIDO NUEVO","OTRO"))))</f>
        <v>TERMINO INDEFINIDO</v>
      </c>
      <c r="O15" s="58">
        <v>202</v>
      </c>
      <c r="P15" s="32">
        <v>4</v>
      </c>
      <c r="Q15" s="29" t="s">
        <v>30</v>
      </c>
      <c r="R15" s="29">
        <v>1</v>
      </c>
      <c r="S15" s="59">
        <v>6</v>
      </c>
      <c r="T15" s="32">
        <v>4</v>
      </c>
    </row>
    <row r="16" spans="1:20">
      <c r="A16" s="60" t="s">
        <v>51</v>
      </c>
      <c r="B16" s="61">
        <v>1085635720</v>
      </c>
      <c r="C16" s="62" t="s">
        <v>52</v>
      </c>
      <c r="D16" s="62" t="s">
        <v>53</v>
      </c>
      <c r="E16" s="62" t="s">
        <v>43</v>
      </c>
      <c r="F16" s="62" t="s">
        <v>54</v>
      </c>
      <c r="G16" s="63">
        <v>3415094.5981706623</v>
      </c>
      <c r="H16" s="64">
        <v>43132</v>
      </c>
      <c r="I16" s="65"/>
      <c r="J16" s="64">
        <v>34801</v>
      </c>
      <c r="K16" s="62">
        <f>(DAYS360(J16,$K$1))/360</f>
        <v>-95.283333333333331</v>
      </c>
      <c r="L16" s="62">
        <f>(DAYS360(H16,$K$1))/360</f>
        <v>-118.08611111111111</v>
      </c>
      <c r="M16" s="66" t="s">
        <v>34</v>
      </c>
      <c r="N16" s="67" t="str">
        <f t="shared" si="0"/>
        <v>TERMINO INDEFINIDO NUEVO</v>
      </c>
      <c r="O16" s="68">
        <v>202</v>
      </c>
      <c r="P16" s="68">
        <v>4</v>
      </c>
      <c r="Q16" s="69" t="s">
        <v>30</v>
      </c>
      <c r="R16" s="69">
        <v>1</v>
      </c>
      <c r="S16" s="70">
        <v>4</v>
      </c>
      <c r="T16" s="68">
        <v>6</v>
      </c>
    </row>
    <row r="17" spans="1:20">
      <c r="A17" s="36" t="s">
        <v>36</v>
      </c>
      <c r="B17" s="71">
        <v>12993944</v>
      </c>
      <c r="C17" s="36" t="s">
        <v>55</v>
      </c>
      <c r="D17" s="36" t="s">
        <v>38</v>
      </c>
      <c r="E17" s="25" t="s">
        <v>43</v>
      </c>
      <c r="F17" s="25" t="s">
        <v>44</v>
      </c>
      <c r="G17" s="37">
        <v>3707009.5134529797</v>
      </c>
      <c r="H17" s="38">
        <v>36924</v>
      </c>
      <c r="I17" s="39"/>
      <c r="J17" s="38">
        <v>24461</v>
      </c>
      <c r="K17" s="36">
        <f t="shared" si="1"/>
        <v>-66.972222222222229</v>
      </c>
      <c r="L17" s="36">
        <f t="shared" si="2"/>
        <v>-101.08888888888889</v>
      </c>
      <c r="M17" s="40" t="s">
        <v>34</v>
      </c>
      <c r="N17" s="34" t="str">
        <f t="shared" si="0"/>
        <v>TERMINO INDEFINIDO NUEVO</v>
      </c>
      <c r="O17" s="35">
        <v>202</v>
      </c>
      <c r="P17" s="35">
        <v>4</v>
      </c>
      <c r="Q17" s="35" t="s">
        <v>30</v>
      </c>
      <c r="R17" s="35">
        <v>1</v>
      </c>
      <c r="S17" s="43">
        <v>5</v>
      </c>
      <c r="T17" s="42">
        <v>4</v>
      </c>
    </row>
    <row r="18" spans="1:20">
      <c r="A18" s="72" t="s">
        <v>56</v>
      </c>
      <c r="B18" s="30">
        <v>5210440</v>
      </c>
      <c r="C18" s="29" t="s">
        <v>57</v>
      </c>
      <c r="D18" s="25" t="s">
        <v>58</v>
      </c>
      <c r="E18" s="25" t="s">
        <v>43</v>
      </c>
      <c r="F18" s="25" t="s">
        <v>59</v>
      </c>
      <c r="G18" s="26">
        <v>3231587.3241836703</v>
      </c>
      <c r="H18" s="27">
        <v>45769</v>
      </c>
      <c r="I18" s="28">
        <v>46295</v>
      </c>
      <c r="J18" s="27">
        <v>26287</v>
      </c>
      <c r="K18" s="25">
        <f t="shared" si="1"/>
        <v>-71.972222222222229</v>
      </c>
      <c r="L18" s="25">
        <f t="shared" si="2"/>
        <v>-125.31111111111112</v>
      </c>
      <c r="M18" s="73">
        <v>1</v>
      </c>
      <c r="N18" s="30" t="str">
        <f t="shared" si="0"/>
        <v>TERMINO FIJO</v>
      </c>
      <c r="O18" s="29">
        <v>202</v>
      </c>
      <c r="P18" s="29">
        <v>4</v>
      </c>
      <c r="Q18" s="29" t="s">
        <v>30</v>
      </c>
      <c r="R18" s="29">
        <v>1</v>
      </c>
      <c r="S18" s="59">
        <v>5</v>
      </c>
      <c r="T18" s="32">
        <v>6</v>
      </c>
    </row>
    <row r="19" spans="1:20">
      <c r="A19" s="62" t="s">
        <v>36</v>
      </c>
      <c r="B19" s="61">
        <v>37014413</v>
      </c>
      <c r="C19" s="62" t="s">
        <v>60</v>
      </c>
      <c r="D19" s="62" t="s">
        <v>61</v>
      </c>
      <c r="E19" s="62" t="s">
        <v>43</v>
      </c>
      <c r="F19" s="62"/>
      <c r="G19" s="63">
        <v>3707009.5134529797</v>
      </c>
      <c r="H19" s="64">
        <v>43118</v>
      </c>
      <c r="I19" s="65"/>
      <c r="J19" s="64">
        <v>28086</v>
      </c>
      <c r="K19" s="62">
        <f t="shared" si="1"/>
        <v>-76.894444444444446</v>
      </c>
      <c r="L19" s="62">
        <f t="shared" si="2"/>
        <v>-118.05</v>
      </c>
      <c r="M19" s="66" t="s">
        <v>34</v>
      </c>
      <c r="N19" s="74" t="str">
        <f t="shared" si="0"/>
        <v>TERMINO INDEFINIDO NUEVO</v>
      </c>
      <c r="O19" s="69">
        <v>202</v>
      </c>
      <c r="P19" s="69">
        <v>4</v>
      </c>
      <c r="Q19" s="69" t="s">
        <v>35</v>
      </c>
      <c r="R19" s="69">
        <v>1</v>
      </c>
      <c r="S19" s="75">
        <v>5</v>
      </c>
      <c r="T19" s="68">
        <v>6</v>
      </c>
    </row>
    <row r="20" spans="1:20">
      <c r="A20" s="62" t="s">
        <v>62</v>
      </c>
      <c r="B20" s="61">
        <v>59396171</v>
      </c>
      <c r="C20" s="62" t="s">
        <v>63</v>
      </c>
      <c r="D20" s="62" t="s">
        <v>64</v>
      </c>
      <c r="E20" s="62" t="s">
        <v>43</v>
      </c>
      <c r="F20" s="62"/>
      <c r="G20" s="63">
        <v>4170489.2032628697</v>
      </c>
      <c r="H20" s="64">
        <v>44562</v>
      </c>
      <c r="I20" s="65"/>
      <c r="J20" s="64">
        <v>30728</v>
      </c>
      <c r="K20" s="62">
        <f t="shared" si="1"/>
        <v>-84.12777777777778</v>
      </c>
      <c r="L20" s="62">
        <f t="shared" si="2"/>
        <v>-122.00277777777778</v>
      </c>
      <c r="M20" s="66" t="s">
        <v>34</v>
      </c>
      <c r="N20" s="74" t="str">
        <f t="shared" si="0"/>
        <v>TERMINO INDEFINIDO NUEVO</v>
      </c>
      <c r="O20" s="69">
        <v>202</v>
      </c>
      <c r="P20" s="69">
        <v>4</v>
      </c>
      <c r="Q20" s="69" t="s">
        <v>35</v>
      </c>
      <c r="R20" s="69">
        <v>1</v>
      </c>
      <c r="S20" s="75">
        <v>3</v>
      </c>
      <c r="T20" s="68">
        <v>6</v>
      </c>
    </row>
    <row r="21" spans="1:20">
      <c r="A21" s="25" t="s">
        <v>40</v>
      </c>
      <c r="B21" s="54">
        <v>59820488</v>
      </c>
      <c r="C21" s="25" t="s">
        <v>65</v>
      </c>
      <c r="D21" s="25" t="s">
        <v>42</v>
      </c>
      <c r="E21" s="25" t="s">
        <v>66</v>
      </c>
      <c r="F21" s="25"/>
      <c r="G21" s="26">
        <v>26768143</v>
      </c>
      <c r="H21" s="27">
        <v>44271</v>
      </c>
      <c r="I21" s="28"/>
      <c r="J21" s="27">
        <v>26723</v>
      </c>
      <c r="K21" s="25">
        <f t="shared" si="1"/>
        <v>-73.166666666666671</v>
      </c>
      <c r="L21" s="25">
        <f t="shared" si="2"/>
        <v>-121.21111111111111</v>
      </c>
      <c r="M21" s="29">
        <v>3</v>
      </c>
      <c r="N21" s="30" t="str">
        <f t="shared" si="0"/>
        <v>SALARIO INTEGRAL</v>
      </c>
      <c r="O21" s="29">
        <v>20401</v>
      </c>
      <c r="P21" s="29">
        <v>4</v>
      </c>
      <c r="Q21" s="29" t="s">
        <v>35</v>
      </c>
      <c r="R21" s="29">
        <v>1</v>
      </c>
      <c r="S21" s="31">
        <v>5</v>
      </c>
      <c r="T21" s="32">
        <v>2</v>
      </c>
    </row>
    <row r="22" spans="1:20">
      <c r="A22" s="24" t="s">
        <v>67</v>
      </c>
      <c r="B22" s="54">
        <v>17328334</v>
      </c>
      <c r="C22" s="25" t="s">
        <v>68</v>
      </c>
      <c r="D22" s="25" t="s">
        <v>69</v>
      </c>
      <c r="E22" s="25" t="s">
        <v>66</v>
      </c>
      <c r="F22" s="25" t="s">
        <v>44</v>
      </c>
      <c r="G22" s="26">
        <v>9446509.4700000007</v>
      </c>
      <c r="H22" s="27">
        <v>32568</v>
      </c>
      <c r="I22" s="28"/>
      <c r="J22" s="27">
        <v>23585</v>
      </c>
      <c r="K22" s="25">
        <f t="shared" si="1"/>
        <v>-64.575000000000003</v>
      </c>
      <c r="L22" s="25">
        <f t="shared" si="2"/>
        <v>-89.169444444444451</v>
      </c>
      <c r="M22" s="29">
        <v>2</v>
      </c>
      <c r="N22" s="30" t="str">
        <f t="shared" si="0"/>
        <v>TERMINO INDEFINIDO</v>
      </c>
      <c r="O22" s="29">
        <v>20401</v>
      </c>
      <c r="P22" s="29">
        <v>4</v>
      </c>
      <c r="Q22" s="29" t="s">
        <v>30</v>
      </c>
      <c r="R22" s="29">
        <v>1</v>
      </c>
      <c r="S22" s="31">
        <v>5</v>
      </c>
      <c r="T22" s="32">
        <v>6</v>
      </c>
    </row>
    <row r="23" spans="1:20">
      <c r="A23" s="25"/>
      <c r="B23" s="54" t="s">
        <v>70</v>
      </c>
      <c r="C23" s="25" t="s">
        <v>71</v>
      </c>
      <c r="D23" s="25" t="s">
        <v>48</v>
      </c>
      <c r="E23" s="25" t="s">
        <v>66</v>
      </c>
      <c r="F23" s="25" t="s">
        <v>72</v>
      </c>
      <c r="G23" s="26">
        <v>6967259.7986902911</v>
      </c>
      <c r="H23" s="27">
        <v>35582</v>
      </c>
      <c r="I23" s="28"/>
      <c r="J23" s="27">
        <v>25196</v>
      </c>
      <c r="K23" s="25">
        <f t="shared" si="1"/>
        <v>-68.983333333333334</v>
      </c>
      <c r="L23" s="25">
        <f t="shared" si="2"/>
        <v>-97.419444444444451</v>
      </c>
      <c r="M23" s="29">
        <v>2</v>
      </c>
      <c r="N23" s="30" t="str">
        <f t="shared" si="0"/>
        <v>TERMINO INDEFINIDO</v>
      </c>
      <c r="O23" s="29">
        <v>20401</v>
      </c>
      <c r="P23" s="29">
        <v>4</v>
      </c>
      <c r="Q23" s="29" t="s">
        <v>30</v>
      </c>
      <c r="R23" s="29">
        <v>1</v>
      </c>
      <c r="S23" s="31">
        <v>5</v>
      </c>
      <c r="T23" s="32">
        <v>4</v>
      </c>
    </row>
    <row r="24" spans="1:20">
      <c r="A24" s="25" t="s">
        <v>45</v>
      </c>
      <c r="B24" s="54" t="s">
        <v>73</v>
      </c>
      <c r="C24" s="25" t="s">
        <v>74</v>
      </c>
      <c r="D24" s="25" t="s">
        <v>75</v>
      </c>
      <c r="E24" s="25" t="s">
        <v>66</v>
      </c>
      <c r="F24" s="25"/>
      <c r="G24" s="26">
        <v>6967259.7986902911</v>
      </c>
      <c r="H24" s="27">
        <v>32350</v>
      </c>
      <c r="I24" s="28"/>
      <c r="J24" s="27">
        <v>23645</v>
      </c>
      <c r="K24" s="25">
        <f t="shared" si="1"/>
        <v>-64.736111111111114</v>
      </c>
      <c r="L24" s="25">
        <f t="shared" si="2"/>
        <v>-88.572222222222223</v>
      </c>
      <c r="M24" s="29">
        <v>2</v>
      </c>
      <c r="N24" s="30" t="str">
        <f t="shared" si="0"/>
        <v>TERMINO INDEFINIDO</v>
      </c>
      <c r="O24" s="29">
        <v>20402</v>
      </c>
      <c r="P24" s="29">
        <v>4</v>
      </c>
      <c r="Q24" s="29" t="s">
        <v>30</v>
      </c>
      <c r="R24" s="29">
        <v>1</v>
      </c>
      <c r="S24" s="31">
        <v>5</v>
      </c>
      <c r="T24" s="32">
        <v>4</v>
      </c>
    </row>
    <row r="25" spans="1:20">
      <c r="A25" s="25" t="s">
        <v>36</v>
      </c>
      <c r="B25" s="54">
        <v>1085297628</v>
      </c>
      <c r="C25" s="25" t="s">
        <v>76</v>
      </c>
      <c r="D25" s="25" t="s">
        <v>61</v>
      </c>
      <c r="E25" s="25" t="s">
        <v>66</v>
      </c>
      <c r="F25" s="25"/>
      <c r="G25" s="26">
        <v>3707009.3133</v>
      </c>
      <c r="H25" s="27">
        <v>46209</v>
      </c>
      <c r="I25" s="28">
        <v>46295</v>
      </c>
      <c r="J25" s="27">
        <v>33658</v>
      </c>
      <c r="K25" s="25">
        <f t="shared" si="1"/>
        <v>-92.15</v>
      </c>
      <c r="L25" s="25">
        <f t="shared" si="2"/>
        <v>-126.51666666666667</v>
      </c>
      <c r="M25" s="73">
        <v>1</v>
      </c>
      <c r="N25" s="76" t="str">
        <f t="shared" si="0"/>
        <v>TERMINO FIJO</v>
      </c>
      <c r="O25" s="32">
        <v>20401</v>
      </c>
      <c r="P25" s="32">
        <v>4</v>
      </c>
      <c r="Q25" s="29" t="s">
        <v>35</v>
      </c>
      <c r="R25" s="29">
        <v>1</v>
      </c>
      <c r="S25" s="31">
        <v>5</v>
      </c>
      <c r="T25" s="32">
        <v>4</v>
      </c>
    </row>
    <row r="26" spans="1:20">
      <c r="A26" s="33" t="s">
        <v>77</v>
      </c>
      <c r="B26" s="71">
        <v>1087960039</v>
      </c>
      <c r="C26" s="36" t="s">
        <v>78</v>
      </c>
      <c r="D26" s="36" t="s">
        <v>79</v>
      </c>
      <c r="E26" s="36" t="s">
        <v>66</v>
      </c>
      <c r="F26" s="36"/>
      <c r="G26" s="37">
        <v>3650452.313529395</v>
      </c>
      <c r="H26" s="38">
        <v>42887</v>
      </c>
      <c r="I26" s="39"/>
      <c r="J26" s="38">
        <v>34469</v>
      </c>
      <c r="K26" s="36">
        <f t="shared" si="1"/>
        <v>-94.375</v>
      </c>
      <c r="L26" s="36">
        <f t="shared" si="2"/>
        <v>-117.41944444444445</v>
      </c>
      <c r="M26" s="40" t="s">
        <v>34</v>
      </c>
      <c r="N26" s="41" t="str">
        <f t="shared" si="0"/>
        <v>TERMINO INDEFINIDO NUEVO</v>
      </c>
      <c r="O26" s="42">
        <v>20402</v>
      </c>
      <c r="P26" s="42">
        <v>4</v>
      </c>
      <c r="Q26" s="35" t="s">
        <v>30</v>
      </c>
      <c r="R26" s="35">
        <v>1</v>
      </c>
      <c r="S26" s="43">
        <v>3</v>
      </c>
      <c r="T26" s="42">
        <v>5</v>
      </c>
    </row>
    <row r="27" spans="1:20">
      <c r="A27" s="36" t="s">
        <v>62</v>
      </c>
      <c r="B27" s="71">
        <v>27097970</v>
      </c>
      <c r="C27" s="36" t="s">
        <v>80</v>
      </c>
      <c r="D27" s="36" t="s">
        <v>64</v>
      </c>
      <c r="E27" s="36" t="s">
        <v>66</v>
      </c>
      <c r="F27" s="36" t="s">
        <v>81</v>
      </c>
      <c r="G27" s="37">
        <v>4170489.2552972576</v>
      </c>
      <c r="H27" s="38">
        <v>39679</v>
      </c>
      <c r="I27" s="39"/>
      <c r="J27" s="38">
        <v>28913</v>
      </c>
      <c r="K27" s="36">
        <f t="shared" si="1"/>
        <v>-79.158333333333331</v>
      </c>
      <c r="L27" s="36">
        <f t="shared" si="2"/>
        <v>-108.63611111111111</v>
      </c>
      <c r="M27" s="40" t="s">
        <v>34</v>
      </c>
      <c r="N27" s="41" t="str">
        <f t="shared" si="0"/>
        <v>TERMINO INDEFINIDO NUEVO</v>
      </c>
      <c r="O27" s="42">
        <v>20401</v>
      </c>
      <c r="P27" s="77">
        <v>4</v>
      </c>
      <c r="Q27" s="78" t="s">
        <v>35</v>
      </c>
      <c r="R27" s="36">
        <v>1</v>
      </c>
      <c r="S27" s="79">
        <v>3</v>
      </c>
      <c r="T27" s="42">
        <v>6</v>
      </c>
    </row>
    <row r="28" spans="1:20">
      <c r="A28" s="25" t="s">
        <v>40</v>
      </c>
      <c r="B28" s="54">
        <v>79627985</v>
      </c>
      <c r="C28" s="25" t="s">
        <v>82</v>
      </c>
      <c r="D28" s="25" t="s">
        <v>42</v>
      </c>
      <c r="E28" s="25" t="s">
        <v>83</v>
      </c>
      <c r="F28" s="25"/>
      <c r="G28" s="26">
        <v>26768143</v>
      </c>
      <c r="H28" s="27">
        <v>43003</v>
      </c>
      <c r="I28" s="28"/>
      <c r="J28" s="27">
        <v>28368</v>
      </c>
      <c r="K28" s="25">
        <f>(DAYS360(J28,$K$1))/360</f>
        <v>-77.666666666666671</v>
      </c>
      <c r="L28" s="25">
        <f>(DAYS360(H28,$K$1))/360</f>
        <v>-117.73611111111111</v>
      </c>
      <c r="M28" s="29">
        <v>3</v>
      </c>
      <c r="N28" s="30" t="str">
        <f t="shared" si="0"/>
        <v>SALARIO INTEGRAL</v>
      </c>
      <c r="O28" s="29">
        <v>203</v>
      </c>
      <c r="P28" s="29">
        <v>4</v>
      </c>
      <c r="Q28" s="29" t="s">
        <v>30</v>
      </c>
      <c r="R28" s="29">
        <v>1</v>
      </c>
      <c r="S28" s="31">
        <v>6</v>
      </c>
      <c r="T28" s="32">
        <v>2</v>
      </c>
    </row>
    <row r="29" spans="1:20">
      <c r="A29" s="44" t="s">
        <v>45</v>
      </c>
      <c r="B29" s="45">
        <v>1085246217</v>
      </c>
      <c r="C29" s="44" t="s">
        <v>84</v>
      </c>
      <c r="D29" s="44" t="s">
        <v>75</v>
      </c>
      <c r="E29" s="44" t="s">
        <v>83</v>
      </c>
      <c r="F29" s="44"/>
      <c r="G29" s="46">
        <v>6967259.9699999997</v>
      </c>
      <c r="H29" s="47">
        <v>45965</v>
      </c>
      <c r="I29" s="48"/>
      <c r="J29" s="47">
        <v>31431</v>
      </c>
      <c r="K29" s="44">
        <f>(DAYS360(J29,$K$1))/360</f>
        <v>-86.052777777777777</v>
      </c>
      <c r="L29" s="44">
        <f>(DAYS360(H29,$K$1))/360</f>
        <v>-125.84444444444445</v>
      </c>
      <c r="M29" s="49" t="s">
        <v>34</v>
      </c>
      <c r="N29" s="50" t="str">
        <f t="shared" si="0"/>
        <v>TERMINO INDEFINIDO NUEVO</v>
      </c>
      <c r="O29" s="51">
        <v>203</v>
      </c>
      <c r="P29" s="51">
        <v>4</v>
      </c>
      <c r="Q29" s="51" t="s">
        <v>35</v>
      </c>
      <c r="R29" s="51">
        <v>1</v>
      </c>
      <c r="S29" s="52">
        <v>6</v>
      </c>
      <c r="T29" s="53">
        <v>6</v>
      </c>
    </row>
    <row r="30" spans="1:20">
      <c r="A30" s="24" t="s">
        <v>62</v>
      </c>
      <c r="B30" s="54">
        <v>1061693926</v>
      </c>
      <c r="C30" s="25" t="s">
        <v>85</v>
      </c>
      <c r="D30" s="25" t="s">
        <v>64</v>
      </c>
      <c r="E30" s="25" t="s">
        <v>83</v>
      </c>
      <c r="F30" s="25"/>
      <c r="G30" s="26">
        <v>4170489.0696</v>
      </c>
      <c r="H30" s="27">
        <v>45419</v>
      </c>
      <c r="I30" s="28">
        <v>46387</v>
      </c>
      <c r="J30" s="27">
        <v>31770</v>
      </c>
      <c r="K30" s="25">
        <f>(DAYS360(J30,$K$1))/360</f>
        <v>-86.983333333333334</v>
      </c>
      <c r="L30" s="25">
        <f>(DAYS360(H30,$K$1))/360</f>
        <v>-124.35277777777777</v>
      </c>
      <c r="M30" s="29">
        <v>1</v>
      </c>
      <c r="N30" s="30" t="str">
        <f t="shared" si="0"/>
        <v>TERMINO FIJO</v>
      </c>
      <c r="O30" s="29">
        <v>203</v>
      </c>
      <c r="P30" s="29">
        <v>4</v>
      </c>
      <c r="Q30" s="29" t="s">
        <v>35</v>
      </c>
      <c r="R30" s="29">
        <v>1</v>
      </c>
      <c r="S30" s="31">
        <v>6</v>
      </c>
      <c r="T30" s="32">
        <v>6</v>
      </c>
    </row>
    <row r="31" spans="1:20">
      <c r="A31" s="25" t="s">
        <v>86</v>
      </c>
      <c r="B31" s="25" t="s">
        <v>87</v>
      </c>
      <c r="C31" s="25" t="s">
        <v>88</v>
      </c>
      <c r="D31" s="25" t="s">
        <v>89</v>
      </c>
      <c r="E31" s="25" t="s">
        <v>90</v>
      </c>
      <c r="F31" s="25" t="s">
        <v>44</v>
      </c>
      <c r="G31" s="26">
        <v>19259955</v>
      </c>
      <c r="H31" s="80">
        <v>32468</v>
      </c>
      <c r="I31" s="28"/>
      <c r="J31" s="27">
        <v>25817</v>
      </c>
      <c r="K31" s="25">
        <f>(DAYS360(J31,$K$1))/360</f>
        <v>-70.683333333333337</v>
      </c>
      <c r="L31" s="25">
        <f>(DAYS360(H31,$K$1))/360</f>
        <v>-88.891666666666666</v>
      </c>
      <c r="M31" s="29">
        <v>2</v>
      </c>
      <c r="N31" s="76" t="str">
        <f t="shared" si="0"/>
        <v>TERMINO INDEFINIDO</v>
      </c>
      <c r="O31" s="32">
        <v>302</v>
      </c>
      <c r="P31" s="32">
        <v>4</v>
      </c>
      <c r="Q31" s="29" t="s">
        <v>35</v>
      </c>
      <c r="R31" s="29">
        <v>1</v>
      </c>
      <c r="S31" s="31">
        <v>6</v>
      </c>
      <c r="T31" s="32">
        <v>6</v>
      </c>
    </row>
    <row r="32" spans="1:20">
      <c r="A32" s="25" t="s">
        <v>67</v>
      </c>
      <c r="B32" s="25" t="s">
        <v>91</v>
      </c>
      <c r="C32" s="25" t="s">
        <v>92</v>
      </c>
      <c r="D32" s="25" t="s">
        <v>69</v>
      </c>
      <c r="E32" s="25" t="s">
        <v>93</v>
      </c>
      <c r="F32" s="25"/>
      <c r="G32" s="26">
        <v>9446509.3195451703</v>
      </c>
      <c r="H32" s="81">
        <v>30368</v>
      </c>
      <c r="I32" s="82"/>
      <c r="J32" s="27">
        <v>23656</v>
      </c>
      <c r="K32" s="25">
        <f t="shared" ref="K32:K95" si="3">(DAYS360(J32,$K$1))/360</f>
        <v>-64.766666666666666</v>
      </c>
      <c r="L32" s="25">
        <f t="shared" ref="L32:L95" si="4">(DAYS360(H32,$K$1))/360</f>
        <v>-83.141666666666666</v>
      </c>
      <c r="M32" s="29">
        <v>2</v>
      </c>
      <c r="N32" s="76" t="str">
        <f t="shared" si="0"/>
        <v>TERMINO INDEFINIDO</v>
      </c>
      <c r="O32" s="32">
        <v>305</v>
      </c>
      <c r="P32" s="32">
        <v>4</v>
      </c>
      <c r="Q32" s="29" t="s">
        <v>30</v>
      </c>
      <c r="R32" s="29">
        <v>1</v>
      </c>
      <c r="S32" s="31">
        <v>6</v>
      </c>
      <c r="T32" s="32">
        <v>4</v>
      </c>
    </row>
    <row r="33" spans="1:20">
      <c r="A33" s="25" t="s">
        <v>67</v>
      </c>
      <c r="B33" s="83">
        <v>12984330</v>
      </c>
      <c r="C33" s="25" t="s">
        <v>94</v>
      </c>
      <c r="D33" s="25" t="s">
        <v>69</v>
      </c>
      <c r="E33" s="25" t="s">
        <v>95</v>
      </c>
      <c r="F33" s="25"/>
      <c r="G33" s="26">
        <v>9446508.9591569286</v>
      </c>
      <c r="H33" s="80">
        <v>35039</v>
      </c>
      <c r="I33" s="28"/>
      <c r="J33" s="27">
        <v>23863</v>
      </c>
      <c r="K33" s="25">
        <f t="shared" si="3"/>
        <v>-65.336111111111109</v>
      </c>
      <c r="L33" s="25">
        <f t="shared" si="4"/>
        <v>-95.933333333333337</v>
      </c>
      <c r="M33" s="29">
        <v>2</v>
      </c>
      <c r="N33" s="76" t="str">
        <f t="shared" si="0"/>
        <v>TERMINO INDEFINIDO</v>
      </c>
      <c r="O33" s="32">
        <v>304</v>
      </c>
      <c r="P33" s="55">
        <v>4</v>
      </c>
      <c r="Q33" s="25" t="s">
        <v>30</v>
      </c>
      <c r="R33" s="25">
        <v>1</v>
      </c>
      <c r="S33" s="84">
        <v>6</v>
      </c>
      <c r="T33" s="32">
        <v>4</v>
      </c>
    </row>
    <row r="34" spans="1:20">
      <c r="A34" s="25" t="s">
        <v>67</v>
      </c>
      <c r="B34" s="25" t="s">
        <v>96</v>
      </c>
      <c r="C34" s="25" t="s">
        <v>97</v>
      </c>
      <c r="D34" s="25" t="s">
        <v>69</v>
      </c>
      <c r="E34" s="25" t="s">
        <v>98</v>
      </c>
      <c r="F34" s="25" t="s">
        <v>99</v>
      </c>
      <c r="G34" s="26">
        <v>9446509.2051569298</v>
      </c>
      <c r="H34" s="85">
        <v>36601</v>
      </c>
      <c r="I34" s="82"/>
      <c r="J34" s="27">
        <v>29752</v>
      </c>
      <c r="K34" s="25">
        <f t="shared" si="3"/>
        <v>-81.458333333333329</v>
      </c>
      <c r="L34" s="25">
        <f t="shared" si="4"/>
        <v>-100.21111111111111</v>
      </c>
      <c r="M34" s="29">
        <v>2</v>
      </c>
      <c r="N34" s="76" t="str">
        <f t="shared" si="0"/>
        <v>TERMINO INDEFINIDO</v>
      </c>
      <c r="O34" s="32">
        <v>306</v>
      </c>
      <c r="P34" s="32">
        <v>4</v>
      </c>
      <c r="Q34" s="29" t="s">
        <v>35</v>
      </c>
      <c r="R34" s="29">
        <v>1</v>
      </c>
      <c r="S34" s="31">
        <v>6</v>
      </c>
      <c r="T34" s="32">
        <v>4</v>
      </c>
    </row>
    <row r="35" spans="1:20">
      <c r="A35" s="36" t="s">
        <v>45</v>
      </c>
      <c r="B35" s="71">
        <v>27093952</v>
      </c>
      <c r="C35" s="36" t="s">
        <v>100</v>
      </c>
      <c r="D35" s="36" t="s">
        <v>48</v>
      </c>
      <c r="E35" s="36" t="s">
        <v>101</v>
      </c>
      <c r="F35" s="36"/>
      <c r="G35" s="37">
        <v>6967259.7986902911</v>
      </c>
      <c r="H35" s="86">
        <v>38169</v>
      </c>
      <c r="I35" s="39"/>
      <c r="J35" s="38">
        <v>29364</v>
      </c>
      <c r="K35" s="36">
        <f t="shared" si="3"/>
        <v>-80.397222222222226</v>
      </c>
      <c r="L35" s="36">
        <f t="shared" si="4"/>
        <v>-104.50277777777778</v>
      </c>
      <c r="M35" s="40" t="s">
        <v>34</v>
      </c>
      <c r="N35" s="41" t="str">
        <f t="shared" si="0"/>
        <v>TERMINO INDEFINIDO NUEVO</v>
      </c>
      <c r="O35" s="42">
        <v>307</v>
      </c>
      <c r="P35" s="42">
        <v>4</v>
      </c>
      <c r="Q35" s="35" t="s">
        <v>35</v>
      </c>
      <c r="R35" s="35">
        <v>1</v>
      </c>
      <c r="S35" s="43">
        <v>5</v>
      </c>
      <c r="T35" s="42">
        <v>4</v>
      </c>
    </row>
    <row r="36" spans="1:20">
      <c r="A36" s="25" t="s">
        <v>45</v>
      </c>
      <c r="B36" s="25" t="s">
        <v>102</v>
      </c>
      <c r="C36" s="25" t="s">
        <v>103</v>
      </c>
      <c r="D36" s="25" t="s">
        <v>48</v>
      </c>
      <c r="E36" s="25" t="s">
        <v>104</v>
      </c>
      <c r="F36" s="25"/>
      <c r="G36" s="26">
        <v>6967259.7986902911</v>
      </c>
      <c r="H36" s="85">
        <v>37137</v>
      </c>
      <c r="I36" s="82"/>
      <c r="J36" s="27">
        <v>28431</v>
      </c>
      <c r="K36" s="25">
        <f t="shared" si="3"/>
        <v>-77.838888888888889</v>
      </c>
      <c r="L36" s="25">
        <f t="shared" si="4"/>
        <v>-101.675</v>
      </c>
      <c r="M36" s="29">
        <v>2</v>
      </c>
      <c r="N36" s="76" t="str">
        <f t="shared" si="0"/>
        <v>TERMINO INDEFINIDO</v>
      </c>
      <c r="O36" s="32">
        <v>309</v>
      </c>
      <c r="P36" s="32">
        <v>4</v>
      </c>
      <c r="Q36" s="29" t="s">
        <v>30</v>
      </c>
      <c r="R36" s="29">
        <v>1</v>
      </c>
      <c r="S36" s="31">
        <v>5</v>
      </c>
      <c r="T36" s="32">
        <v>4</v>
      </c>
    </row>
    <row r="37" spans="1:20">
      <c r="A37" s="25" t="s">
        <v>45</v>
      </c>
      <c r="B37" s="54">
        <v>67022585</v>
      </c>
      <c r="C37" s="29" t="s">
        <v>105</v>
      </c>
      <c r="D37" s="25" t="s">
        <v>75</v>
      </c>
      <c r="E37" s="25" t="s">
        <v>104</v>
      </c>
      <c r="F37" s="25"/>
      <c r="G37" s="26">
        <v>6967259.5154535007</v>
      </c>
      <c r="H37" s="27">
        <v>46240</v>
      </c>
      <c r="I37" s="28">
        <v>46387</v>
      </c>
      <c r="J37" s="27">
        <v>30508</v>
      </c>
      <c r="K37" s="25">
        <f t="shared" si="3"/>
        <v>-83.530555555555551</v>
      </c>
      <c r="L37" s="25">
        <f t="shared" si="4"/>
        <v>-126.6</v>
      </c>
      <c r="M37" s="29">
        <v>1</v>
      </c>
      <c r="N37" s="30" t="str">
        <f>IF(M37=3,"SALARIO INTEGRAL",IF(M37=2,"TERMINO INDEFINIDO",IF(M37=1,"TERMINO FIJO",IF(M37="2_N","TERMINO INDEFINIDO NUEVO","OTRO"))))</f>
        <v>TERMINO FIJO</v>
      </c>
      <c r="O37" s="29">
        <v>309</v>
      </c>
      <c r="P37" s="29">
        <v>4</v>
      </c>
      <c r="Q37" s="29" t="s">
        <v>35</v>
      </c>
      <c r="R37" s="29">
        <v>1</v>
      </c>
      <c r="S37" s="31">
        <v>5</v>
      </c>
      <c r="T37" s="32">
        <v>4</v>
      </c>
    </row>
    <row r="38" spans="1:20">
      <c r="A38" s="25" t="s">
        <v>45</v>
      </c>
      <c r="B38" s="54" t="s">
        <v>106</v>
      </c>
      <c r="C38" s="25" t="s">
        <v>107</v>
      </c>
      <c r="D38" s="25" t="s">
        <v>75</v>
      </c>
      <c r="E38" s="25" t="s">
        <v>108</v>
      </c>
      <c r="F38" s="25"/>
      <c r="G38" s="26">
        <v>6967259.7986902911</v>
      </c>
      <c r="H38" s="27">
        <v>36607</v>
      </c>
      <c r="I38" s="28"/>
      <c r="J38" s="27">
        <v>25109</v>
      </c>
      <c r="K38" s="25">
        <f t="shared" si="3"/>
        <v>-68.74444444444444</v>
      </c>
      <c r="L38" s="25">
        <f t="shared" si="4"/>
        <v>-100.22777777777777</v>
      </c>
      <c r="M38" s="29">
        <v>2</v>
      </c>
      <c r="N38" s="30" t="str">
        <f t="shared" si="0"/>
        <v>TERMINO INDEFINIDO</v>
      </c>
      <c r="O38" s="29">
        <v>303</v>
      </c>
      <c r="P38" s="29">
        <v>5</v>
      </c>
      <c r="Q38" s="29" t="s">
        <v>30</v>
      </c>
      <c r="R38" s="29">
        <v>1</v>
      </c>
      <c r="S38" s="31">
        <v>5</v>
      </c>
      <c r="T38" s="32">
        <v>4</v>
      </c>
    </row>
    <row r="39" spans="1:20">
      <c r="A39" s="36" t="s">
        <v>45</v>
      </c>
      <c r="B39" s="71">
        <v>1085941716</v>
      </c>
      <c r="C39" s="36" t="s">
        <v>109</v>
      </c>
      <c r="D39" s="36" t="s">
        <v>48</v>
      </c>
      <c r="E39" s="36" t="s">
        <v>98</v>
      </c>
      <c r="F39" s="36" t="s">
        <v>44</v>
      </c>
      <c r="G39" s="37">
        <v>6967259.7986902911</v>
      </c>
      <c r="H39" s="86">
        <v>42522</v>
      </c>
      <c r="I39" s="39"/>
      <c r="J39" s="38">
        <v>35059</v>
      </c>
      <c r="K39" s="36">
        <f t="shared" si="3"/>
        <v>-95.988888888888894</v>
      </c>
      <c r="L39" s="36">
        <f t="shared" si="4"/>
        <v>-116.41944444444445</v>
      </c>
      <c r="M39" s="40" t="s">
        <v>34</v>
      </c>
      <c r="N39" s="41" t="str">
        <f t="shared" si="0"/>
        <v>TERMINO INDEFINIDO NUEVO</v>
      </c>
      <c r="O39" s="42">
        <v>306</v>
      </c>
      <c r="P39" s="42">
        <v>4</v>
      </c>
      <c r="Q39" s="35" t="s">
        <v>35</v>
      </c>
      <c r="R39" s="35">
        <v>1</v>
      </c>
      <c r="S39" s="43">
        <v>5</v>
      </c>
      <c r="T39" s="42">
        <v>4</v>
      </c>
    </row>
    <row r="40" spans="1:20">
      <c r="A40" s="44" t="s">
        <v>36</v>
      </c>
      <c r="B40" s="45">
        <v>1088271461</v>
      </c>
      <c r="C40" s="44" t="s">
        <v>110</v>
      </c>
      <c r="D40" s="44" t="s">
        <v>38</v>
      </c>
      <c r="E40" s="44" t="s">
        <v>111</v>
      </c>
      <c r="F40" s="44"/>
      <c r="G40" s="46">
        <v>3707009.3133</v>
      </c>
      <c r="H40" s="47">
        <v>44562</v>
      </c>
      <c r="I40" s="48"/>
      <c r="J40" s="47">
        <v>32748</v>
      </c>
      <c r="K40" s="44">
        <f t="shared" si="3"/>
        <v>-89.661111111111111</v>
      </c>
      <c r="L40" s="44">
        <f t="shared" si="4"/>
        <v>-122.00277777777778</v>
      </c>
      <c r="M40" s="49" t="s">
        <v>34</v>
      </c>
      <c r="N40" s="50" t="str">
        <f t="shared" si="0"/>
        <v>TERMINO INDEFINIDO NUEVO</v>
      </c>
      <c r="O40" s="51">
        <v>308</v>
      </c>
      <c r="P40" s="51">
        <v>4</v>
      </c>
      <c r="Q40" s="51" t="s">
        <v>35</v>
      </c>
      <c r="R40" s="51">
        <v>1</v>
      </c>
      <c r="S40" s="51">
        <v>5</v>
      </c>
      <c r="T40" s="53">
        <v>4</v>
      </c>
    </row>
    <row r="41" spans="1:20">
      <c r="A41" s="36" t="s">
        <v>36</v>
      </c>
      <c r="B41" s="71">
        <v>1082657575</v>
      </c>
      <c r="C41" s="36" t="s">
        <v>112</v>
      </c>
      <c r="D41" s="36" t="s">
        <v>61</v>
      </c>
      <c r="E41" s="36" t="s">
        <v>111</v>
      </c>
      <c r="F41" s="36"/>
      <c r="G41" s="37">
        <v>3707009.5134529797</v>
      </c>
      <c r="H41" s="86">
        <v>42417</v>
      </c>
      <c r="I41" s="39"/>
      <c r="J41" s="38">
        <v>33866</v>
      </c>
      <c r="K41" s="25">
        <f t="shared" si="3"/>
        <v>-92.719444444444449</v>
      </c>
      <c r="L41" s="25">
        <f t="shared" si="4"/>
        <v>-116.13055555555556</v>
      </c>
      <c r="M41" s="40" t="s">
        <v>34</v>
      </c>
      <c r="N41" s="41" t="str">
        <f t="shared" si="0"/>
        <v>TERMINO INDEFINIDO NUEVO</v>
      </c>
      <c r="O41" s="42">
        <v>308</v>
      </c>
      <c r="P41" s="42">
        <v>4</v>
      </c>
      <c r="Q41" s="35" t="s">
        <v>30</v>
      </c>
      <c r="R41" s="35">
        <v>1</v>
      </c>
      <c r="S41" s="43">
        <v>5</v>
      </c>
      <c r="T41" s="42">
        <v>6</v>
      </c>
    </row>
    <row r="42" spans="1:20">
      <c r="A42" s="25" t="s">
        <v>36</v>
      </c>
      <c r="B42" s="54">
        <v>1086107212</v>
      </c>
      <c r="C42" s="25" t="s">
        <v>113</v>
      </c>
      <c r="D42" s="25" t="s">
        <v>61</v>
      </c>
      <c r="E42" s="25" t="s">
        <v>98</v>
      </c>
      <c r="F42" s="25" t="s">
        <v>44</v>
      </c>
      <c r="G42" s="26">
        <v>3707009.5134529797</v>
      </c>
      <c r="H42" s="27">
        <v>45826</v>
      </c>
      <c r="I42" s="28">
        <v>46387</v>
      </c>
      <c r="J42" s="27">
        <v>35623</v>
      </c>
      <c r="K42" s="25">
        <f t="shared" si="3"/>
        <v>-97.533333333333331</v>
      </c>
      <c r="L42" s="25">
        <f t="shared" si="4"/>
        <v>-125.46666666666667</v>
      </c>
      <c r="M42" s="73">
        <v>1</v>
      </c>
      <c r="N42" s="30" t="str">
        <f t="shared" si="0"/>
        <v>TERMINO FIJO</v>
      </c>
      <c r="O42" s="29">
        <v>306</v>
      </c>
      <c r="P42" s="32">
        <v>4</v>
      </c>
      <c r="Q42" s="29" t="s">
        <v>35</v>
      </c>
      <c r="R42" s="29">
        <v>1</v>
      </c>
      <c r="S42" s="31">
        <v>3</v>
      </c>
      <c r="T42" s="32">
        <v>6</v>
      </c>
    </row>
    <row r="43" spans="1:20">
      <c r="A43" s="44" t="s">
        <v>36</v>
      </c>
      <c r="B43" s="50">
        <v>1004539049</v>
      </c>
      <c r="C43" s="51" t="s">
        <v>114</v>
      </c>
      <c r="D43" s="44" t="s">
        <v>61</v>
      </c>
      <c r="E43" s="44" t="s">
        <v>93</v>
      </c>
      <c r="F43" s="44"/>
      <c r="G43" s="46">
        <v>3707009.5134529797</v>
      </c>
      <c r="H43" s="47">
        <v>44713</v>
      </c>
      <c r="I43" s="48"/>
      <c r="J43" s="47">
        <v>36467</v>
      </c>
      <c r="K43" s="44">
        <f t="shared" si="3"/>
        <v>-99.841666666666669</v>
      </c>
      <c r="L43" s="44">
        <f t="shared" si="4"/>
        <v>-122.41944444444445</v>
      </c>
      <c r="M43" s="49" t="s">
        <v>34</v>
      </c>
      <c r="N43" s="50" t="str">
        <f t="shared" si="0"/>
        <v>TERMINO INDEFINIDO NUEVO</v>
      </c>
      <c r="O43" s="51">
        <v>305</v>
      </c>
      <c r="P43" s="53">
        <v>4</v>
      </c>
      <c r="Q43" s="51" t="s">
        <v>35</v>
      </c>
      <c r="R43" s="51">
        <v>1</v>
      </c>
      <c r="S43" s="87">
        <v>2</v>
      </c>
      <c r="T43" s="53">
        <v>6</v>
      </c>
    </row>
    <row r="44" spans="1:20">
      <c r="A44" s="36" t="s">
        <v>115</v>
      </c>
      <c r="B44" s="34">
        <v>12989593</v>
      </c>
      <c r="C44" s="35" t="s">
        <v>116</v>
      </c>
      <c r="D44" s="36" t="s">
        <v>117</v>
      </c>
      <c r="E44" s="36" t="s">
        <v>108</v>
      </c>
      <c r="F44" s="36" t="s">
        <v>118</v>
      </c>
      <c r="G44" s="37">
        <v>2800873.1236122902</v>
      </c>
      <c r="H44" s="38">
        <v>41169</v>
      </c>
      <c r="I44" s="39"/>
      <c r="J44" s="38">
        <v>24568</v>
      </c>
      <c r="K44" s="36">
        <f>(DAYS360(J44,$K$1))/360</f>
        <v>-67.266666666666666</v>
      </c>
      <c r="L44" s="36">
        <f>(DAYS360(H44,$K$1))/360</f>
        <v>-112.71388888888889</v>
      </c>
      <c r="M44" s="40" t="s">
        <v>34</v>
      </c>
      <c r="N44" s="34" t="str">
        <f t="shared" si="0"/>
        <v>TERMINO INDEFINIDO NUEVO</v>
      </c>
      <c r="O44" s="35">
        <v>303</v>
      </c>
      <c r="P44" s="35">
        <v>4</v>
      </c>
      <c r="Q44" s="35" t="s">
        <v>30</v>
      </c>
      <c r="R44" s="35">
        <v>1</v>
      </c>
      <c r="S44" s="43">
        <v>5</v>
      </c>
      <c r="T44" s="42">
        <v>6</v>
      </c>
    </row>
    <row r="45" spans="1:20">
      <c r="A45" s="44" t="s">
        <v>115</v>
      </c>
      <c r="B45" s="45">
        <v>87062723</v>
      </c>
      <c r="C45" s="44" t="s">
        <v>119</v>
      </c>
      <c r="D45" s="44" t="s">
        <v>117</v>
      </c>
      <c r="E45" s="44" t="s">
        <v>101</v>
      </c>
      <c r="F45" s="44" t="s">
        <v>44</v>
      </c>
      <c r="G45" s="46">
        <v>3283807.2722999998</v>
      </c>
      <c r="H45" s="47">
        <v>44259</v>
      </c>
      <c r="I45" s="48"/>
      <c r="J45" s="47">
        <v>30491</v>
      </c>
      <c r="K45" s="44">
        <f>(DAYS360(J45,$K$1))/360</f>
        <v>-83.483333333333334</v>
      </c>
      <c r="L45" s="44">
        <f>(DAYS360(H45,$K$1))/360</f>
        <v>-121.17777777777778</v>
      </c>
      <c r="M45" s="49" t="s">
        <v>34</v>
      </c>
      <c r="N45" s="50" t="str">
        <f t="shared" si="0"/>
        <v>TERMINO INDEFINIDO NUEVO</v>
      </c>
      <c r="O45" s="51">
        <v>307</v>
      </c>
      <c r="P45" s="53">
        <v>4</v>
      </c>
      <c r="Q45" s="51" t="s">
        <v>30</v>
      </c>
      <c r="R45" s="51">
        <v>1</v>
      </c>
      <c r="S45" s="52">
        <v>5</v>
      </c>
      <c r="T45" s="53">
        <v>6</v>
      </c>
    </row>
    <row r="46" spans="1:20">
      <c r="A46" s="25" t="s">
        <v>36</v>
      </c>
      <c r="B46" s="54">
        <v>1086107615</v>
      </c>
      <c r="C46" s="25" t="s">
        <v>120</v>
      </c>
      <c r="D46" s="25" t="s">
        <v>117</v>
      </c>
      <c r="E46" s="25" t="s">
        <v>98</v>
      </c>
      <c r="F46" s="25"/>
      <c r="G46" s="26">
        <v>3707009.5134529797</v>
      </c>
      <c r="H46" s="27">
        <v>46258</v>
      </c>
      <c r="I46" s="28">
        <v>46295</v>
      </c>
      <c r="J46" s="27">
        <v>36014</v>
      </c>
      <c r="K46" s="25">
        <f>(DAYS360(J46,$K$1))/360</f>
        <v>-98.602777777777774</v>
      </c>
      <c r="L46" s="25">
        <f>(DAYS360(H46,$K$1))/360</f>
        <v>-126.65</v>
      </c>
      <c r="M46" s="73">
        <v>1</v>
      </c>
      <c r="N46" s="30" t="str">
        <f>IF(M46=3,"SALARIO INTEGRAL",IF(M46=2,"TERMINO INDEFINIDO",IF(M46=1,"TERMINO FIJO",IF(M46="2_N","TERMINO INDEFINIDO NUEVO","OTRO"))))</f>
        <v>TERMINO FIJO</v>
      </c>
      <c r="O46" s="29">
        <v>306</v>
      </c>
      <c r="P46" s="32">
        <v>4</v>
      </c>
      <c r="Q46" s="29" t="s">
        <v>30</v>
      </c>
      <c r="R46" s="29">
        <v>1</v>
      </c>
      <c r="S46" s="31">
        <v>3</v>
      </c>
      <c r="T46" s="32">
        <v>6</v>
      </c>
    </row>
    <row r="47" spans="1:20">
      <c r="A47" s="62" t="s">
        <v>115</v>
      </c>
      <c r="B47" s="88">
        <v>1088974595</v>
      </c>
      <c r="C47" s="62" t="s">
        <v>121</v>
      </c>
      <c r="D47" s="62" t="s">
        <v>122</v>
      </c>
      <c r="E47" s="62" t="s">
        <v>93</v>
      </c>
      <c r="F47" s="62" t="s">
        <v>44</v>
      </c>
      <c r="G47" s="63">
        <v>3283806.7690738421</v>
      </c>
      <c r="H47" s="64">
        <v>43487</v>
      </c>
      <c r="I47" s="65"/>
      <c r="J47" s="64">
        <v>34434</v>
      </c>
      <c r="K47" s="62">
        <f t="shared" si="3"/>
        <v>-94.277777777777771</v>
      </c>
      <c r="L47" s="62">
        <f t="shared" si="4"/>
        <v>-119.06111111111112</v>
      </c>
      <c r="M47" s="66" t="s">
        <v>34</v>
      </c>
      <c r="N47" s="74" t="str">
        <f t="shared" si="0"/>
        <v>TERMINO INDEFINIDO NUEVO</v>
      </c>
      <c r="O47" s="69">
        <v>309</v>
      </c>
      <c r="P47" s="68">
        <v>4</v>
      </c>
      <c r="Q47" s="69" t="s">
        <v>30</v>
      </c>
      <c r="R47" s="69">
        <v>1</v>
      </c>
      <c r="S47" s="70">
        <v>3</v>
      </c>
      <c r="T47" s="68">
        <v>6</v>
      </c>
    </row>
    <row r="48" spans="1:20">
      <c r="A48" s="25" t="s">
        <v>115</v>
      </c>
      <c r="B48" s="54">
        <v>87070249</v>
      </c>
      <c r="C48" s="25" t="s">
        <v>123</v>
      </c>
      <c r="D48" s="25" t="s">
        <v>117</v>
      </c>
      <c r="E48" s="25" t="s">
        <v>93</v>
      </c>
      <c r="F48" s="25" t="s">
        <v>44</v>
      </c>
      <c r="G48" s="26">
        <v>3283807.2722999998</v>
      </c>
      <c r="H48" s="27">
        <v>45407</v>
      </c>
      <c r="I48" s="28">
        <v>46387</v>
      </c>
      <c r="J48" s="27">
        <v>31027</v>
      </c>
      <c r="K48" s="25">
        <f t="shared" si="3"/>
        <v>-84.947222222222223</v>
      </c>
      <c r="L48" s="25">
        <f t="shared" si="4"/>
        <v>-124.31944444444444</v>
      </c>
      <c r="M48" s="73">
        <v>1</v>
      </c>
      <c r="N48" s="30" t="str">
        <f t="shared" si="0"/>
        <v>TERMINO FIJO</v>
      </c>
      <c r="O48" s="29">
        <v>305</v>
      </c>
      <c r="P48" s="29">
        <v>4</v>
      </c>
      <c r="Q48" s="29" t="s">
        <v>30</v>
      </c>
      <c r="R48" s="29">
        <v>1</v>
      </c>
      <c r="S48" s="31">
        <v>3</v>
      </c>
      <c r="T48" s="32">
        <v>6</v>
      </c>
    </row>
    <row r="49" spans="1:20" ht="42">
      <c r="A49" s="25" t="s">
        <v>124</v>
      </c>
      <c r="B49" s="89">
        <v>1086106985</v>
      </c>
      <c r="C49" s="89" t="s">
        <v>125</v>
      </c>
      <c r="D49" s="25" t="s">
        <v>126</v>
      </c>
      <c r="E49" s="25" t="s">
        <v>104</v>
      </c>
      <c r="F49" s="25"/>
      <c r="G49" s="26">
        <v>2802739.1336794067</v>
      </c>
      <c r="H49" s="27">
        <v>46255</v>
      </c>
      <c r="I49" s="28">
        <v>46295</v>
      </c>
      <c r="J49" s="27">
        <v>35440</v>
      </c>
      <c r="K49" s="25">
        <f t="shared" si="3"/>
        <v>-97.027777777777771</v>
      </c>
      <c r="L49" s="25">
        <f t="shared" si="4"/>
        <v>-126.64166666666667</v>
      </c>
      <c r="M49" s="73">
        <v>1</v>
      </c>
      <c r="N49" s="30" t="str">
        <f t="shared" si="0"/>
        <v>TERMINO FIJO</v>
      </c>
      <c r="O49" s="29">
        <v>309</v>
      </c>
      <c r="P49" s="29">
        <v>4</v>
      </c>
      <c r="Q49" s="29" t="s">
        <v>30</v>
      </c>
      <c r="R49" s="29">
        <v>1</v>
      </c>
      <c r="S49" s="31">
        <v>3</v>
      </c>
      <c r="T49" s="32">
        <v>6</v>
      </c>
    </row>
    <row r="50" spans="1:20">
      <c r="A50" s="62" t="s">
        <v>124</v>
      </c>
      <c r="B50" s="61">
        <v>27388771</v>
      </c>
      <c r="C50" s="62" t="s">
        <v>127</v>
      </c>
      <c r="D50" s="62" t="s">
        <v>126</v>
      </c>
      <c r="E50" s="62" t="s">
        <v>98</v>
      </c>
      <c r="F50" s="62" t="s">
        <v>128</v>
      </c>
      <c r="G50" s="63">
        <v>2802739.64234913</v>
      </c>
      <c r="H50" s="64">
        <v>44950</v>
      </c>
      <c r="I50" s="65"/>
      <c r="J50" s="64">
        <v>29942</v>
      </c>
      <c r="K50" s="62">
        <f>(DAYS360(J50,$K$1))/360</f>
        <v>-81.977777777777774</v>
      </c>
      <c r="L50" s="62">
        <f>(DAYS360(H50,$K$1))/360</f>
        <v>-123.06666666666666</v>
      </c>
      <c r="M50" s="66" t="s">
        <v>34</v>
      </c>
      <c r="N50" s="74" t="str">
        <f t="shared" si="0"/>
        <v>TERMINO INDEFINIDO NUEVO</v>
      </c>
      <c r="O50" s="69">
        <v>306</v>
      </c>
      <c r="P50" s="69">
        <v>4</v>
      </c>
      <c r="Q50" s="69" t="s">
        <v>35</v>
      </c>
      <c r="R50" s="69">
        <v>1</v>
      </c>
      <c r="S50" s="70">
        <v>3</v>
      </c>
      <c r="T50" s="68">
        <v>6</v>
      </c>
    </row>
    <row r="51" spans="1:20">
      <c r="A51" s="25" t="s">
        <v>124</v>
      </c>
      <c r="B51" s="54">
        <v>1085299261</v>
      </c>
      <c r="C51" s="25" t="s">
        <v>129</v>
      </c>
      <c r="D51" s="25" t="s">
        <v>126</v>
      </c>
      <c r="E51" s="25" t="s">
        <v>108</v>
      </c>
      <c r="F51" s="25"/>
      <c r="G51" s="26">
        <v>2802739.1336794067</v>
      </c>
      <c r="H51" s="27">
        <v>45328</v>
      </c>
      <c r="I51" s="28">
        <v>46387</v>
      </c>
      <c r="J51" s="90">
        <v>33851</v>
      </c>
      <c r="K51" s="25">
        <f t="shared" si="3"/>
        <v>-92.677777777777777</v>
      </c>
      <c r="L51" s="25">
        <f t="shared" si="4"/>
        <v>-124.1</v>
      </c>
      <c r="M51" s="29">
        <v>1</v>
      </c>
      <c r="N51" s="30" t="str">
        <f t="shared" si="0"/>
        <v>TERMINO FIJO</v>
      </c>
      <c r="O51" s="29">
        <v>303</v>
      </c>
      <c r="P51" s="29">
        <v>4</v>
      </c>
      <c r="Q51" s="29" t="s">
        <v>30</v>
      </c>
      <c r="R51" s="29">
        <v>1</v>
      </c>
      <c r="S51" s="31">
        <v>5</v>
      </c>
      <c r="T51" s="32">
        <v>6</v>
      </c>
    </row>
    <row r="52" spans="1:20">
      <c r="A52" s="25" t="s">
        <v>124</v>
      </c>
      <c r="B52" s="54">
        <v>59677026</v>
      </c>
      <c r="C52" s="25" t="s">
        <v>130</v>
      </c>
      <c r="D52" s="25" t="s">
        <v>126</v>
      </c>
      <c r="E52" s="25" t="s">
        <v>101</v>
      </c>
      <c r="F52" s="25"/>
      <c r="G52" s="26">
        <v>2802739.7214000002</v>
      </c>
      <c r="H52" s="27">
        <v>45558</v>
      </c>
      <c r="I52" s="28">
        <v>46387</v>
      </c>
      <c r="J52" s="27">
        <v>28852</v>
      </c>
      <c r="K52" s="25">
        <f t="shared" si="3"/>
        <v>-78.99444444444444</v>
      </c>
      <c r="L52" s="25">
        <f t="shared" si="4"/>
        <v>-124.73055555555555</v>
      </c>
      <c r="M52" s="29">
        <v>1</v>
      </c>
      <c r="N52" s="30" t="str">
        <f t="shared" si="0"/>
        <v>TERMINO FIJO</v>
      </c>
      <c r="O52" s="29">
        <v>307</v>
      </c>
      <c r="P52" s="29">
        <v>4</v>
      </c>
      <c r="Q52" s="29" t="s">
        <v>35</v>
      </c>
      <c r="R52" s="29">
        <v>1</v>
      </c>
      <c r="S52" s="29">
        <v>5</v>
      </c>
      <c r="T52" s="32">
        <v>6</v>
      </c>
    </row>
    <row r="53" spans="1:20">
      <c r="A53" s="25" t="s">
        <v>124</v>
      </c>
      <c r="B53" s="54">
        <v>1086107154</v>
      </c>
      <c r="C53" s="25" t="s">
        <v>131</v>
      </c>
      <c r="D53" s="25" t="s">
        <v>132</v>
      </c>
      <c r="E53" s="25" t="s">
        <v>93</v>
      </c>
      <c r="F53" s="25"/>
      <c r="G53" s="26">
        <v>2802739.1336794067</v>
      </c>
      <c r="H53" s="27">
        <v>46252</v>
      </c>
      <c r="I53" s="28">
        <v>46387</v>
      </c>
      <c r="J53" s="27">
        <v>35565</v>
      </c>
      <c r="K53" s="25">
        <f>(DAYS360(J53,$K$1))/360</f>
        <v>-97.375</v>
      </c>
      <c r="L53" s="25">
        <f>(DAYS360(H53,$K$1))/360</f>
        <v>-126.63333333333334</v>
      </c>
      <c r="M53" s="29">
        <v>1</v>
      </c>
      <c r="N53" s="30" t="str">
        <f t="shared" si="0"/>
        <v>TERMINO FIJO</v>
      </c>
      <c r="O53" s="29">
        <v>305</v>
      </c>
      <c r="P53" s="29">
        <v>4</v>
      </c>
      <c r="Q53" s="29" t="s">
        <v>35</v>
      </c>
      <c r="R53" s="29">
        <v>1</v>
      </c>
      <c r="S53" s="91">
        <v>2</v>
      </c>
      <c r="T53" s="32">
        <v>6</v>
      </c>
    </row>
    <row r="54" spans="1:20">
      <c r="A54" s="25" t="s">
        <v>124</v>
      </c>
      <c r="B54" s="30"/>
      <c r="C54" s="29" t="s">
        <v>133</v>
      </c>
      <c r="D54" s="25" t="s">
        <v>132</v>
      </c>
      <c r="E54" s="25" t="s">
        <v>108</v>
      </c>
      <c r="F54" s="25"/>
      <c r="G54" s="26">
        <v>2802739.64234913</v>
      </c>
      <c r="H54" s="27"/>
      <c r="I54" s="28"/>
      <c r="J54" s="27"/>
      <c r="K54" s="25">
        <f>(DAYS360(J54,$K$1))/360</f>
        <v>0</v>
      </c>
      <c r="L54" s="25">
        <f>(DAYS360(H54,$K$1))/360</f>
        <v>0</v>
      </c>
      <c r="M54" s="73">
        <v>91</v>
      </c>
      <c r="N54" s="76" t="str">
        <f t="shared" si="0"/>
        <v>OTRO</v>
      </c>
      <c r="O54" s="32">
        <v>303</v>
      </c>
      <c r="P54" s="32"/>
      <c r="Q54" s="29"/>
      <c r="R54" s="29"/>
      <c r="S54" s="59"/>
      <c r="T54" s="32"/>
    </row>
    <row r="55" spans="1:20">
      <c r="A55" s="24" t="s">
        <v>134</v>
      </c>
      <c r="B55" s="54" t="s">
        <v>135</v>
      </c>
      <c r="C55" s="25" t="s">
        <v>136</v>
      </c>
      <c r="D55" s="25" t="s">
        <v>137</v>
      </c>
      <c r="E55" s="25" t="s">
        <v>108</v>
      </c>
      <c r="F55" s="25" t="s">
        <v>138</v>
      </c>
      <c r="G55" s="26">
        <v>3971698.0629923777</v>
      </c>
      <c r="H55" s="80">
        <v>32469</v>
      </c>
      <c r="I55" s="28"/>
      <c r="J55" s="27">
        <v>24010</v>
      </c>
      <c r="K55" s="25">
        <f>(DAYS360(J55,$K$1))/360</f>
        <v>-65.736111111111114</v>
      </c>
      <c r="L55" s="25">
        <f>(DAYS360(H55,$K$1))/360</f>
        <v>-88.894444444444446</v>
      </c>
      <c r="M55" s="29">
        <v>2</v>
      </c>
      <c r="N55" s="76" t="str">
        <f t="shared" si="0"/>
        <v>TERMINO INDEFINIDO</v>
      </c>
      <c r="O55" s="32">
        <v>303</v>
      </c>
      <c r="P55" s="32">
        <v>4</v>
      </c>
      <c r="Q55" s="29" t="s">
        <v>30</v>
      </c>
      <c r="R55" s="29">
        <v>1</v>
      </c>
      <c r="S55" s="31">
        <v>2</v>
      </c>
      <c r="T55" s="32">
        <v>6</v>
      </c>
    </row>
    <row r="56" spans="1:20">
      <c r="A56" s="36" t="s">
        <v>139</v>
      </c>
      <c r="B56" s="92">
        <v>37006953</v>
      </c>
      <c r="C56" s="36" t="s">
        <v>140</v>
      </c>
      <c r="D56" s="36" t="s">
        <v>141</v>
      </c>
      <c r="E56" s="36" t="s">
        <v>98</v>
      </c>
      <c r="F56" s="36" t="s">
        <v>142</v>
      </c>
      <c r="G56" s="37">
        <v>3971698.242858639</v>
      </c>
      <c r="H56" s="38">
        <v>39490</v>
      </c>
      <c r="I56" s="39"/>
      <c r="J56" s="38">
        <v>26385</v>
      </c>
      <c r="K56" s="25">
        <f>(DAYS360(J56,$K$1))/360</f>
        <v>-72.24166666666666</v>
      </c>
      <c r="L56" s="25">
        <f>(DAYS360(H56,$K$1))/360</f>
        <v>-108.11666666666666</v>
      </c>
      <c r="M56" s="40" t="s">
        <v>34</v>
      </c>
      <c r="N56" s="34" t="str">
        <f t="shared" si="0"/>
        <v>TERMINO INDEFINIDO NUEVO</v>
      </c>
      <c r="O56" s="35">
        <v>306</v>
      </c>
      <c r="P56" s="42">
        <v>4</v>
      </c>
      <c r="Q56" s="35" t="s">
        <v>35</v>
      </c>
      <c r="R56" s="35">
        <v>1</v>
      </c>
      <c r="S56" s="43">
        <v>4</v>
      </c>
      <c r="T56" s="42">
        <v>6</v>
      </c>
    </row>
    <row r="57" spans="1:20">
      <c r="A57" s="25" t="s">
        <v>139</v>
      </c>
      <c r="B57" s="54" t="s">
        <v>143</v>
      </c>
      <c r="C57" s="25" t="s">
        <v>144</v>
      </c>
      <c r="D57" s="25" t="s">
        <v>141</v>
      </c>
      <c r="E57" s="25" t="s">
        <v>108</v>
      </c>
      <c r="F57" s="25"/>
      <c r="G57" s="26">
        <v>3971698.0446149404</v>
      </c>
      <c r="H57" s="27">
        <v>35432</v>
      </c>
      <c r="I57" s="28"/>
      <c r="J57" s="27">
        <v>26363</v>
      </c>
      <c r="K57" s="25">
        <f t="shared" si="3"/>
        <v>-72.180555555555557</v>
      </c>
      <c r="L57" s="25">
        <f t="shared" si="4"/>
        <v>-97.00555555555556</v>
      </c>
      <c r="M57" s="29">
        <v>2</v>
      </c>
      <c r="N57" s="30" t="str">
        <f t="shared" si="0"/>
        <v>TERMINO INDEFINIDO</v>
      </c>
      <c r="O57" s="29">
        <v>303</v>
      </c>
      <c r="P57" s="32">
        <v>5</v>
      </c>
      <c r="Q57" s="29" t="s">
        <v>35</v>
      </c>
      <c r="R57" s="29">
        <v>1</v>
      </c>
      <c r="S57" s="59">
        <v>3</v>
      </c>
      <c r="T57" s="32">
        <v>6</v>
      </c>
    </row>
    <row r="58" spans="1:20">
      <c r="A58" s="36" t="s">
        <v>139</v>
      </c>
      <c r="B58" s="71">
        <v>59815560</v>
      </c>
      <c r="C58" s="36" t="s">
        <v>145</v>
      </c>
      <c r="D58" s="36" t="s">
        <v>141</v>
      </c>
      <c r="E58" s="36" t="s">
        <v>101</v>
      </c>
      <c r="F58" s="36" t="s">
        <v>146</v>
      </c>
      <c r="G58" s="37">
        <v>3707009.3133</v>
      </c>
      <c r="H58" s="38">
        <v>41499</v>
      </c>
      <c r="I58" s="39"/>
      <c r="J58" s="38">
        <v>26174</v>
      </c>
      <c r="K58" s="36">
        <f>(DAYS360(J58,$K$1))/360</f>
        <v>-71.663888888888891</v>
      </c>
      <c r="L58" s="36">
        <f>(DAYS360(H58,$K$1))/360</f>
        <v>-113.61944444444444</v>
      </c>
      <c r="M58" s="40" t="s">
        <v>34</v>
      </c>
      <c r="N58" s="34" t="str">
        <f t="shared" si="0"/>
        <v>TERMINO INDEFINIDO NUEVO</v>
      </c>
      <c r="O58" s="35">
        <v>307</v>
      </c>
      <c r="P58" s="42">
        <v>4</v>
      </c>
      <c r="Q58" s="35" t="s">
        <v>35</v>
      </c>
      <c r="R58" s="35">
        <v>1</v>
      </c>
      <c r="S58" s="43">
        <v>3</v>
      </c>
      <c r="T58" s="42">
        <v>6</v>
      </c>
    </row>
    <row r="59" spans="1:20">
      <c r="A59" s="33" t="s">
        <v>77</v>
      </c>
      <c r="B59" s="34">
        <v>30732818</v>
      </c>
      <c r="C59" s="35" t="s">
        <v>147</v>
      </c>
      <c r="D59" s="36" t="s">
        <v>148</v>
      </c>
      <c r="E59" s="36" t="s">
        <v>93</v>
      </c>
      <c r="F59" s="36"/>
      <c r="G59" s="37">
        <v>3650452.313529395</v>
      </c>
      <c r="H59" s="38">
        <v>40319</v>
      </c>
      <c r="I59" s="39"/>
      <c r="J59" s="38">
        <v>24125</v>
      </c>
      <c r="K59" s="25">
        <f t="shared" si="3"/>
        <v>-66.05</v>
      </c>
      <c r="L59" s="25">
        <f t="shared" si="4"/>
        <v>-110.39166666666667</v>
      </c>
      <c r="M59" s="40" t="s">
        <v>34</v>
      </c>
      <c r="N59" s="34" t="str">
        <f t="shared" si="0"/>
        <v>TERMINO INDEFINIDO NUEVO</v>
      </c>
      <c r="O59" s="35">
        <v>305</v>
      </c>
      <c r="P59" s="35">
        <v>4</v>
      </c>
      <c r="Q59" s="35" t="s">
        <v>35</v>
      </c>
      <c r="R59" s="35">
        <v>1</v>
      </c>
      <c r="S59" s="43">
        <v>5</v>
      </c>
      <c r="T59" s="42">
        <v>6</v>
      </c>
    </row>
    <row r="60" spans="1:20">
      <c r="A60" s="44" t="s">
        <v>149</v>
      </c>
      <c r="B60" s="45">
        <v>27285899</v>
      </c>
      <c r="C60" s="44" t="s">
        <v>150</v>
      </c>
      <c r="D60" s="44" t="s">
        <v>151</v>
      </c>
      <c r="E60" s="44" t="s">
        <v>93</v>
      </c>
      <c r="F60" s="44" t="s">
        <v>152</v>
      </c>
      <c r="G60" s="46">
        <v>3415094.5981706623</v>
      </c>
      <c r="H60" s="47">
        <v>44971</v>
      </c>
      <c r="I60" s="48"/>
      <c r="J60" s="47">
        <v>28313</v>
      </c>
      <c r="K60" s="44">
        <f t="shared" si="3"/>
        <v>-77.519444444444446</v>
      </c>
      <c r="L60" s="44">
        <f t="shared" si="4"/>
        <v>-123.12222222222222</v>
      </c>
      <c r="M60" s="49" t="s">
        <v>34</v>
      </c>
      <c r="N60" s="50" t="str">
        <f>IF(M60=3,"SALARIO INTEGRAL",IF(M60=2,"TERMINO INDEFINIDO",IF(M60=1,"TERMINO FIJO",IF(M60="2_N","TERMINO INDEFINIDO NUEVO","OTRO"))))</f>
        <v>TERMINO INDEFINIDO NUEVO</v>
      </c>
      <c r="O60" s="51">
        <v>203</v>
      </c>
      <c r="P60" s="51">
        <v>4</v>
      </c>
      <c r="Q60" s="51" t="s">
        <v>35</v>
      </c>
      <c r="R60" s="51">
        <v>1</v>
      </c>
      <c r="S60" s="52">
        <v>6</v>
      </c>
      <c r="T60" s="53">
        <v>6</v>
      </c>
    </row>
    <row r="61" spans="1:20">
      <c r="A61" s="24" t="s">
        <v>153</v>
      </c>
      <c r="B61" s="54">
        <v>1004539268</v>
      </c>
      <c r="C61" s="25" t="s">
        <v>154</v>
      </c>
      <c r="D61" s="25" t="s">
        <v>155</v>
      </c>
      <c r="E61" s="25" t="s">
        <v>98</v>
      </c>
      <c r="F61" s="25"/>
      <c r="G61" s="26">
        <v>3120218.49</v>
      </c>
      <c r="H61" s="27">
        <v>46239</v>
      </c>
      <c r="I61" s="28">
        <v>46387</v>
      </c>
      <c r="J61" s="27">
        <v>36460</v>
      </c>
      <c r="K61" s="25">
        <f t="shared" si="3"/>
        <v>-99.825000000000003</v>
      </c>
      <c r="L61" s="25">
        <f t="shared" si="4"/>
        <v>-126.59722222222223</v>
      </c>
      <c r="M61" s="73">
        <v>1</v>
      </c>
      <c r="N61" s="57" t="str">
        <f>IF(M61=3,"SALARIO INTEGRAL",IF(M61=2,"TERMINO INDEFINIDO",IF(M61=1,"TERMINO FIJO",IF(M61="2_N","TERMINO INDEFINIDO NUEVO","OTRO"))))</f>
        <v>TERMINO FIJO</v>
      </c>
      <c r="O61" s="58">
        <v>306</v>
      </c>
      <c r="P61" s="32">
        <v>4</v>
      </c>
      <c r="Q61" s="29" t="s">
        <v>35</v>
      </c>
      <c r="R61" s="29">
        <v>1</v>
      </c>
      <c r="S61" s="59">
        <v>4</v>
      </c>
      <c r="T61" s="32">
        <v>6</v>
      </c>
    </row>
    <row r="62" spans="1:20">
      <c r="A62" s="24" t="s">
        <v>62</v>
      </c>
      <c r="B62" s="54">
        <v>1085928132</v>
      </c>
      <c r="C62" s="25" t="s">
        <v>156</v>
      </c>
      <c r="D62" s="25" t="s">
        <v>157</v>
      </c>
      <c r="E62" s="25" t="s">
        <v>90</v>
      </c>
      <c r="F62" s="25"/>
      <c r="G62" s="26">
        <v>4170489.66</v>
      </c>
      <c r="H62" s="27">
        <v>45870</v>
      </c>
      <c r="I62" s="28">
        <v>46387</v>
      </c>
      <c r="J62" s="27">
        <v>33639</v>
      </c>
      <c r="K62" s="25">
        <f t="shared" si="3"/>
        <v>-92.097222222222229</v>
      </c>
      <c r="L62" s="25">
        <f t="shared" si="4"/>
        <v>-125.58611111111111</v>
      </c>
      <c r="M62" s="29">
        <v>1</v>
      </c>
      <c r="N62" s="57" t="str">
        <f t="shared" si="0"/>
        <v>TERMINO FIJO</v>
      </c>
      <c r="O62" s="58">
        <v>306</v>
      </c>
      <c r="P62" s="32">
        <v>4</v>
      </c>
      <c r="Q62" s="29" t="s">
        <v>35</v>
      </c>
      <c r="R62" s="29">
        <v>1</v>
      </c>
      <c r="S62" s="59">
        <v>5</v>
      </c>
      <c r="T62" s="32">
        <v>6</v>
      </c>
    </row>
    <row r="63" spans="1:20">
      <c r="A63" s="25" t="s">
        <v>158</v>
      </c>
      <c r="B63" s="54"/>
      <c r="C63" s="25" t="s">
        <v>159</v>
      </c>
      <c r="D63" s="25" t="s">
        <v>160</v>
      </c>
      <c r="E63" s="25" t="s">
        <v>93</v>
      </c>
      <c r="F63" s="25" t="s">
        <v>161</v>
      </c>
      <c r="G63" s="26">
        <v>2527665.5775527097</v>
      </c>
      <c r="H63" s="27"/>
      <c r="I63" s="28"/>
      <c r="J63" s="27"/>
      <c r="K63" s="25">
        <f t="shared" si="3"/>
        <v>0</v>
      </c>
      <c r="L63" s="25">
        <f t="shared" si="4"/>
        <v>0</v>
      </c>
      <c r="M63" s="73">
        <v>91</v>
      </c>
      <c r="N63" s="76" t="str">
        <f t="shared" si="0"/>
        <v>OTRO</v>
      </c>
      <c r="O63" s="32">
        <v>408</v>
      </c>
      <c r="P63" s="32"/>
      <c r="Q63" s="29"/>
      <c r="R63" s="29"/>
      <c r="S63" s="59"/>
      <c r="T63" s="32"/>
    </row>
    <row r="64" spans="1:20">
      <c r="A64" s="25" t="s">
        <v>162</v>
      </c>
      <c r="B64" s="25" t="s">
        <v>163</v>
      </c>
      <c r="C64" s="25" t="s">
        <v>164</v>
      </c>
      <c r="D64" s="25" t="s">
        <v>165</v>
      </c>
      <c r="E64" s="25" t="s">
        <v>166</v>
      </c>
      <c r="F64" s="25" t="s">
        <v>167</v>
      </c>
      <c r="G64" s="26">
        <v>17509050</v>
      </c>
      <c r="H64" s="27">
        <v>36122</v>
      </c>
      <c r="I64" s="28"/>
      <c r="J64" s="27">
        <v>25280</v>
      </c>
      <c r="K64" s="25">
        <f t="shared" si="3"/>
        <v>-69.216666666666669</v>
      </c>
      <c r="L64" s="25">
        <f t="shared" si="4"/>
        <v>-98.897222222222226</v>
      </c>
      <c r="M64" s="29">
        <v>2</v>
      </c>
      <c r="N64" s="30" t="str">
        <f t="shared" si="0"/>
        <v>TERMINO INDEFINIDO</v>
      </c>
      <c r="O64" s="29">
        <v>402</v>
      </c>
      <c r="P64" s="29">
        <v>5</v>
      </c>
      <c r="Q64" s="29" t="s">
        <v>30</v>
      </c>
      <c r="R64" s="29">
        <v>1</v>
      </c>
      <c r="S64" s="31">
        <v>6</v>
      </c>
      <c r="T64" s="32">
        <v>6</v>
      </c>
    </row>
    <row r="65" spans="1:20">
      <c r="A65" s="25" t="s">
        <v>67</v>
      </c>
      <c r="B65" s="25" t="s">
        <v>168</v>
      </c>
      <c r="C65" s="25" t="s">
        <v>169</v>
      </c>
      <c r="D65" s="25" t="s">
        <v>69</v>
      </c>
      <c r="E65" s="25" t="s">
        <v>170</v>
      </c>
      <c r="F65" s="25" t="s">
        <v>171</v>
      </c>
      <c r="G65" s="26">
        <v>9446508.7131569237</v>
      </c>
      <c r="H65" s="27">
        <v>32660</v>
      </c>
      <c r="I65" s="28"/>
      <c r="J65" s="27">
        <v>25515</v>
      </c>
      <c r="K65" s="93">
        <f t="shared" si="3"/>
        <v>-69.855555555555554</v>
      </c>
      <c r="L65" s="93">
        <f t="shared" si="4"/>
        <v>-89.419444444444451</v>
      </c>
      <c r="M65" s="29">
        <v>2</v>
      </c>
      <c r="N65" s="30" t="str">
        <f t="shared" si="0"/>
        <v>TERMINO INDEFINIDO</v>
      </c>
      <c r="O65" s="29">
        <v>403</v>
      </c>
      <c r="P65" s="29">
        <v>4</v>
      </c>
      <c r="Q65" s="29" t="s">
        <v>35</v>
      </c>
      <c r="R65" s="29">
        <v>1</v>
      </c>
      <c r="S65" s="31">
        <v>6</v>
      </c>
      <c r="T65" s="32">
        <v>4</v>
      </c>
    </row>
    <row r="66" spans="1:20">
      <c r="A66" s="36" t="s">
        <v>45</v>
      </c>
      <c r="B66" s="34">
        <v>59314468</v>
      </c>
      <c r="C66" s="36" t="s">
        <v>172</v>
      </c>
      <c r="D66" s="36" t="s">
        <v>75</v>
      </c>
      <c r="E66" s="36" t="s">
        <v>173</v>
      </c>
      <c r="F66" s="36" t="s">
        <v>174</v>
      </c>
      <c r="G66" s="37">
        <v>6967259.7986902911</v>
      </c>
      <c r="H66" s="38">
        <v>41045</v>
      </c>
      <c r="I66" s="39"/>
      <c r="J66" s="38">
        <v>30960</v>
      </c>
      <c r="K66" s="36">
        <f t="shared" si="3"/>
        <v>-84.763888888888886</v>
      </c>
      <c r="L66" s="36">
        <f t="shared" si="4"/>
        <v>-112.37777777777778</v>
      </c>
      <c r="M66" s="40" t="s">
        <v>34</v>
      </c>
      <c r="N66" s="41" t="str">
        <f t="shared" si="0"/>
        <v>TERMINO INDEFINIDO NUEVO</v>
      </c>
      <c r="O66" s="42">
        <v>404</v>
      </c>
      <c r="P66" s="42">
        <v>4</v>
      </c>
      <c r="Q66" s="35" t="s">
        <v>35</v>
      </c>
      <c r="R66" s="35">
        <v>1</v>
      </c>
      <c r="S66" s="94">
        <v>6</v>
      </c>
      <c r="T66" s="42">
        <v>4</v>
      </c>
    </row>
    <row r="67" spans="1:20">
      <c r="A67" s="25" t="s">
        <v>45</v>
      </c>
      <c r="B67" s="25" t="s">
        <v>175</v>
      </c>
      <c r="C67" s="25" t="s">
        <v>176</v>
      </c>
      <c r="D67" s="25" t="s">
        <v>75</v>
      </c>
      <c r="E67" s="25" t="s">
        <v>177</v>
      </c>
      <c r="F67" s="25"/>
      <c r="G67" s="26">
        <v>6967259.7986902911</v>
      </c>
      <c r="H67" s="80">
        <v>34851</v>
      </c>
      <c r="I67" s="28"/>
      <c r="J67" s="27">
        <v>25118</v>
      </c>
      <c r="K67" s="25">
        <f>(DAYS360(J67,$K$1))/360</f>
        <v>-68.769444444444446</v>
      </c>
      <c r="L67" s="25">
        <f>(DAYS360(H67,$K$1))/360</f>
        <v>-95.419444444444451</v>
      </c>
      <c r="M67" s="29">
        <v>2</v>
      </c>
      <c r="N67" s="76" t="str">
        <f t="shared" si="0"/>
        <v>TERMINO INDEFINIDO</v>
      </c>
      <c r="O67" s="32">
        <v>407</v>
      </c>
      <c r="P67" s="32">
        <v>4</v>
      </c>
      <c r="Q67" s="29" t="s">
        <v>30</v>
      </c>
      <c r="R67" s="29">
        <v>1</v>
      </c>
      <c r="S67" s="31">
        <v>5</v>
      </c>
      <c r="T67" s="32">
        <v>4</v>
      </c>
    </row>
    <row r="68" spans="1:20">
      <c r="A68" s="36" t="s">
        <v>45</v>
      </c>
      <c r="B68" s="71">
        <v>1085249260</v>
      </c>
      <c r="C68" s="36" t="s">
        <v>178</v>
      </c>
      <c r="D68" s="36" t="s">
        <v>75</v>
      </c>
      <c r="E68" s="36" t="s">
        <v>179</v>
      </c>
      <c r="F68" s="36"/>
      <c r="G68" s="37">
        <v>6967259.7986902911</v>
      </c>
      <c r="H68" s="38">
        <v>42782</v>
      </c>
      <c r="I68" s="39"/>
      <c r="J68" s="38">
        <v>31338</v>
      </c>
      <c r="K68" s="36">
        <f t="shared" si="3"/>
        <v>-85.8</v>
      </c>
      <c r="L68" s="36">
        <f t="shared" si="4"/>
        <v>-117.12777777777778</v>
      </c>
      <c r="M68" s="40" t="s">
        <v>34</v>
      </c>
      <c r="N68" s="41" t="str">
        <f t="shared" si="0"/>
        <v>TERMINO INDEFINIDO NUEVO</v>
      </c>
      <c r="O68" s="42">
        <v>406</v>
      </c>
      <c r="P68" s="42">
        <v>4</v>
      </c>
      <c r="Q68" s="35" t="s">
        <v>30</v>
      </c>
      <c r="R68" s="35">
        <v>1</v>
      </c>
      <c r="S68" s="94">
        <v>5</v>
      </c>
      <c r="T68" s="42">
        <v>4</v>
      </c>
    </row>
    <row r="69" spans="1:20">
      <c r="A69" s="25" t="s">
        <v>45</v>
      </c>
      <c r="B69" s="25" t="s">
        <v>180</v>
      </c>
      <c r="C69" s="25" t="s">
        <v>181</v>
      </c>
      <c r="D69" s="25" t="s">
        <v>75</v>
      </c>
      <c r="E69" s="25" t="s">
        <v>182</v>
      </c>
      <c r="F69" s="25"/>
      <c r="G69" s="26">
        <v>6967259.6228360226</v>
      </c>
      <c r="H69" s="27">
        <v>36955</v>
      </c>
      <c r="I69" s="28"/>
      <c r="J69" s="27">
        <v>26449</v>
      </c>
      <c r="K69" s="25">
        <f t="shared" si="3"/>
        <v>-72.416666666666671</v>
      </c>
      <c r="L69" s="25">
        <f t="shared" si="4"/>
        <v>-101.18055555555556</v>
      </c>
      <c r="M69" s="29">
        <v>2</v>
      </c>
      <c r="N69" s="30" t="str">
        <f t="shared" si="0"/>
        <v>TERMINO INDEFINIDO</v>
      </c>
      <c r="O69" s="29">
        <v>405</v>
      </c>
      <c r="P69" s="32">
        <v>4</v>
      </c>
      <c r="Q69" s="29" t="s">
        <v>35</v>
      </c>
      <c r="R69" s="29">
        <v>1</v>
      </c>
      <c r="S69" s="59">
        <v>5</v>
      </c>
      <c r="T69" s="32">
        <v>4</v>
      </c>
    </row>
    <row r="70" spans="1:20">
      <c r="A70" s="36" t="s">
        <v>45</v>
      </c>
      <c r="B70" s="71">
        <v>98395012</v>
      </c>
      <c r="C70" s="36" t="s">
        <v>183</v>
      </c>
      <c r="D70" s="36" t="s">
        <v>75</v>
      </c>
      <c r="E70" s="36" t="s">
        <v>170</v>
      </c>
      <c r="F70" s="36" t="s">
        <v>184</v>
      </c>
      <c r="G70" s="37">
        <v>6967259.9699999997</v>
      </c>
      <c r="H70" s="38">
        <v>40500</v>
      </c>
      <c r="I70" s="39"/>
      <c r="J70" s="38">
        <v>27960</v>
      </c>
      <c r="K70" s="95">
        <f>(DAYS360(J70,$K$1))/360</f>
        <v>-76.552777777777777</v>
      </c>
      <c r="L70" s="36">
        <f>(DAYS360(H70,$K$1))/360</f>
        <v>-110.88333333333334</v>
      </c>
      <c r="M70" s="40" t="s">
        <v>34</v>
      </c>
      <c r="N70" s="34" t="str">
        <f t="shared" si="0"/>
        <v>TERMINO INDEFINIDO NUEVO</v>
      </c>
      <c r="O70" s="35">
        <v>403</v>
      </c>
      <c r="P70" s="42">
        <v>4</v>
      </c>
      <c r="Q70" s="35" t="s">
        <v>30</v>
      </c>
      <c r="R70" s="35">
        <v>1</v>
      </c>
      <c r="S70" s="94">
        <v>5</v>
      </c>
      <c r="T70" s="42">
        <v>6</v>
      </c>
    </row>
    <row r="71" spans="1:20">
      <c r="A71" s="25" t="s">
        <v>185</v>
      </c>
      <c r="B71" s="54" t="s">
        <v>186</v>
      </c>
      <c r="C71" s="25" t="s">
        <v>187</v>
      </c>
      <c r="D71" s="25" t="s">
        <v>188</v>
      </c>
      <c r="E71" s="25" t="s">
        <v>182</v>
      </c>
      <c r="F71" s="25" t="s">
        <v>189</v>
      </c>
      <c r="G71" s="26">
        <v>6063364.9500000002</v>
      </c>
      <c r="H71" s="27">
        <v>32405</v>
      </c>
      <c r="I71" s="28"/>
      <c r="J71" s="27">
        <v>23098</v>
      </c>
      <c r="K71" s="25">
        <f>(DAYS360(J71,$K$1))/360</f>
        <v>-63.244444444444447</v>
      </c>
      <c r="L71" s="25">
        <f>(DAYS360(H71,$K$1))/360</f>
        <v>-88.719444444444449</v>
      </c>
      <c r="M71" s="73">
        <v>2</v>
      </c>
      <c r="N71" s="76" t="str">
        <f t="shared" si="0"/>
        <v>TERMINO INDEFINIDO</v>
      </c>
      <c r="O71" s="32">
        <v>405</v>
      </c>
      <c r="P71" s="32">
        <v>4</v>
      </c>
      <c r="Q71" s="29" t="s">
        <v>30</v>
      </c>
      <c r="R71" s="29">
        <v>1</v>
      </c>
      <c r="S71" s="59">
        <v>5</v>
      </c>
      <c r="T71" s="32">
        <v>6</v>
      </c>
    </row>
    <row r="72" spans="1:20">
      <c r="A72" s="36" t="s">
        <v>185</v>
      </c>
      <c r="B72" s="71">
        <v>87453425</v>
      </c>
      <c r="C72" s="36" t="s">
        <v>190</v>
      </c>
      <c r="D72" s="36" t="s">
        <v>191</v>
      </c>
      <c r="E72" s="25" t="s">
        <v>192</v>
      </c>
      <c r="F72" s="25"/>
      <c r="G72" s="37">
        <v>6063366.1799999997</v>
      </c>
      <c r="H72" s="38">
        <v>37532</v>
      </c>
      <c r="I72" s="39"/>
      <c r="J72" s="38">
        <v>27062</v>
      </c>
      <c r="K72" s="36">
        <f t="shared" si="3"/>
        <v>-74.088888888888889</v>
      </c>
      <c r="L72" s="36">
        <f t="shared" si="4"/>
        <v>-102.75833333333334</v>
      </c>
      <c r="M72" s="40" t="s">
        <v>34</v>
      </c>
      <c r="N72" s="34" t="str">
        <f t="shared" si="0"/>
        <v>TERMINO INDEFINIDO NUEVO</v>
      </c>
      <c r="O72" s="35">
        <v>408</v>
      </c>
      <c r="P72" s="35">
        <v>4</v>
      </c>
      <c r="Q72" s="35" t="s">
        <v>30</v>
      </c>
      <c r="R72" s="35">
        <v>1</v>
      </c>
      <c r="S72" s="43">
        <v>5</v>
      </c>
      <c r="T72" s="42">
        <v>6</v>
      </c>
    </row>
    <row r="73" spans="1:20">
      <c r="A73" s="36" t="s">
        <v>36</v>
      </c>
      <c r="B73" s="34">
        <v>59311650</v>
      </c>
      <c r="C73" s="35" t="s">
        <v>193</v>
      </c>
      <c r="D73" s="36" t="s">
        <v>38</v>
      </c>
      <c r="E73" s="25" t="s">
        <v>182</v>
      </c>
      <c r="F73" s="25" t="s">
        <v>194</v>
      </c>
      <c r="G73" s="37">
        <v>3707009.5134529797</v>
      </c>
      <c r="H73" s="38">
        <v>42831</v>
      </c>
      <c r="I73" s="39"/>
      <c r="J73" s="38">
        <v>30506</v>
      </c>
      <c r="K73" s="25">
        <f t="shared" si="3"/>
        <v>-83.525000000000006</v>
      </c>
      <c r="L73" s="25">
        <f t="shared" si="4"/>
        <v>-117.26666666666667</v>
      </c>
      <c r="M73" s="40" t="s">
        <v>34</v>
      </c>
      <c r="N73" s="34" t="str">
        <f t="shared" si="0"/>
        <v>TERMINO INDEFINIDO NUEVO</v>
      </c>
      <c r="O73" s="35">
        <v>403</v>
      </c>
      <c r="P73" s="42">
        <v>4</v>
      </c>
      <c r="Q73" s="35" t="s">
        <v>35</v>
      </c>
      <c r="R73" s="35">
        <v>1</v>
      </c>
      <c r="S73" s="96">
        <v>6</v>
      </c>
      <c r="T73" s="42">
        <v>6</v>
      </c>
    </row>
    <row r="74" spans="1:20">
      <c r="A74" s="44" t="s">
        <v>36</v>
      </c>
      <c r="B74" s="50">
        <v>1233188376</v>
      </c>
      <c r="C74" s="51" t="s">
        <v>195</v>
      </c>
      <c r="D74" s="44" t="s">
        <v>38</v>
      </c>
      <c r="E74" s="44" t="s">
        <v>182</v>
      </c>
      <c r="F74" s="44"/>
      <c r="G74" s="46">
        <v>3707009.5134529797</v>
      </c>
      <c r="H74" s="47">
        <v>45965</v>
      </c>
      <c r="I74" s="48"/>
      <c r="J74" s="47">
        <v>35423</v>
      </c>
      <c r="K74" s="44">
        <f>(DAYS360(J74,$K$1))/360</f>
        <v>-96.983333333333334</v>
      </c>
      <c r="L74" s="44">
        <f>(DAYS360(H74,$K$1))/360</f>
        <v>-125.84444444444445</v>
      </c>
      <c r="M74" s="49" t="s">
        <v>34</v>
      </c>
      <c r="N74" s="50" t="str">
        <f t="shared" ref="N74:N138" si="5">IF(M74=3,"SALARIO INTEGRAL",IF(M74=2,"TERMINO INDEFINIDO",IF(M74=1,"TERMINO FIJO",IF(M74="2_N","TERMINO INDEFINIDO NUEVO","OTRO"))))</f>
        <v>TERMINO INDEFINIDO NUEVO</v>
      </c>
      <c r="O74" s="51">
        <v>405</v>
      </c>
      <c r="P74" s="51">
        <v>5</v>
      </c>
      <c r="Q74" s="51" t="s">
        <v>30</v>
      </c>
      <c r="R74" s="51">
        <v>1</v>
      </c>
      <c r="S74" s="97">
        <v>5</v>
      </c>
      <c r="T74" s="53">
        <v>4</v>
      </c>
    </row>
    <row r="75" spans="1:20">
      <c r="A75" s="25" t="s">
        <v>36</v>
      </c>
      <c r="B75" s="54" t="s">
        <v>196</v>
      </c>
      <c r="C75" s="25" t="s">
        <v>197</v>
      </c>
      <c r="D75" s="25" t="s">
        <v>61</v>
      </c>
      <c r="E75" s="25" t="s">
        <v>177</v>
      </c>
      <c r="F75" s="25"/>
      <c r="G75" s="26">
        <v>3707009.5134529797</v>
      </c>
      <c r="H75" s="27">
        <v>36607</v>
      </c>
      <c r="I75" s="28"/>
      <c r="J75" s="27">
        <v>28119</v>
      </c>
      <c r="K75" s="25">
        <f t="shared" si="3"/>
        <v>-76.986111111111114</v>
      </c>
      <c r="L75" s="25">
        <f t="shared" si="4"/>
        <v>-100.22777777777777</v>
      </c>
      <c r="M75" s="29">
        <v>2</v>
      </c>
      <c r="N75" s="57" t="str">
        <f t="shared" si="5"/>
        <v>TERMINO INDEFINIDO</v>
      </c>
      <c r="O75" s="58">
        <v>407</v>
      </c>
      <c r="P75" s="32">
        <v>5</v>
      </c>
      <c r="Q75" s="29" t="s">
        <v>30</v>
      </c>
      <c r="R75" s="29">
        <v>1</v>
      </c>
      <c r="S75" s="59">
        <v>2</v>
      </c>
      <c r="T75" s="32">
        <v>6</v>
      </c>
    </row>
    <row r="76" spans="1:20">
      <c r="A76" s="62" t="s">
        <v>36</v>
      </c>
      <c r="B76" s="61">
        <v>1004236454</v>
      </c>
      <c r="C76" s="62" t="s">
        <v>198</v>
      </c>
      <c r="D76" s="62" t="s">
        <v>38</v>
      </c>
      <c r="E76" s="62" t="s">
        <v>170</v>
      </c>
      <c r="F76" s="62" t="s">
        <v>44</v>
      </c>
      <c r="G76" s="63">
        <v>3707009.5134529797</v>
      </c>
      <c r="H76" s="64">
        <v>43787</v>
      </c>
      <c r="I76" s="65"/>
      <c r="J76" s="64">
        <v>36864</v>
      </c>
      <c r="K76" s="62">
        <f t="shared" si="3"/>
        <v>-100.92777777777778</v>
      </c>
      <c r="L76" s="62">
        <f t="shared" si="4"/>
        <v>-119.88333333333334</v>
      </c>
      <c r="M76" s="66" t="s">
        <v>34</v>
      </c>
      <c r="N76" s="67" t="str">
        <f t="shared" si="5"/>
        <v>TERMINO INDEFINIDO NUEVO</v>
      </c>
      <c r="O76" s="68">
        <v>403</v>
      </c>
      <c r="P76" s="68">
        <v>4</v>
      </c>
      <c r="Q76" s="69" t="s">
        <v>35</v>
      </c>
      <c r="R76" s="69">
        <v>1</v>
      </c>
      <c r="S76" s="70">
        <v>7</v>
      </c>
      <c r="T76" s="68">
        <v>6</v>
      </c>
    </row>
    <row r="77" spans="1:20">
      <c r="A77" s="25" t="s">
        <v>36</v>
      </c>
      <c r="B77" s="25" t="s">
        <v>199</v>
      </c>
      <c r="C77" s="25" t="s">
        <v>200</v>
      </c>
      <c r="D77" s="29" t="s">
        <v>38</v>
      </c>
      <c r="E77" s="25" t="s">
        <v>177</v>
      </c>
      <c r="F77" s="25"/>
      <c r="G77" s="26">
        <v>3707009.5134529797</v>
      </c>
      <c r="H77" s="81">
        <v>37146</v>
      </c>
      <c r="I77" s="82"/>
      <c r="J77" s="27">
        <v>23546</v>
      </c>
      <c r="K77" s="25">
        <f t="shared" si="3"/>
        <v>-64.466666666666669</v>
      </c>
      <c r="L77" s="25">
        <f t="shared" si="4"/>
        <v>-101.7</v>
      </c>
      <c r="M77" s="29">
        <v>2</v>
      </c>
      <c r="N77" s="76" t="str">
        <f t="shared" si="5"/>
        <v>TERMINO INDEFINIDO</v>
      </c>
      <c r="O77" s="32">
        <v>407</v>
      </c>
      <c r="P77" s="55">
        <v>4</v>
      </c>
      <c r="Q77" s="25" t="s">
        <v>35</v>
      </c>
      <c r="R77" s="25">
        <v>1</v>
      </c>
      <c r="S77" s="98">
        <v>5</v>
      </c>
      <c r="T77" s="32">
        <v>6</v>
      </c>
    </row>
    <row r="78" spans="1:20">
      <c r="A78" s="36" t="s">
        <v>36</v>
      </c>
      <c r="B78" s="71">
        <v>1085252603</v>
      </c>
      <c r="C78" s="36" t="s">
        <v>201</v>
      </c>
      <c r="D78" s="36" t="s">
        <v>61</v>
      </c>
      <c r="E78" s="36" t="s">
        <v>182</v>
      </c>
      <c r="F78" s="36" t="s">
        <v>202</v>
      </c>
      <c r="G78" s="37">
        <v>3707009.5134529797</v>
      </c>
      <c r="H78" s="99">
        <v>39455</v>
      </c>
      <c r="I78" s="100"/>
      <c r="J78" s="38">
        <v>31664</v>
      </c>
      <c r="K78" s="36">
        <f t="shared" si="3"/>
        <v>-86.691666666666663</v>
      </c>
      <c r="L78" s="36">
        <f t="shared" si="4"/>
        <v>-108.02222222222223</v>
      </c>
      <c r="M78" s="40" t="s">
        <v>34</v>
      </c>
      <c r="N78" s="34" t="str">
        <f t="shared" si="5"/>
        <v>TERMINO INDEFINIDO NUEVO</v>
      </c>
      <c r="O78" s="35">
        <v>405</v>
      </c>
      <c r="P78" s="35">
        <v>4</v>
      </c>
      <c r="Q78" s="35" t="s">
        <v>35</v>
      </c>
      <c r="R78" s="35">
        <v>1</v>
      </c>
      <c r="S78" s="94">
        <v>2</v>
      </c>
      <c r="T78" s="42">
        <v>6</v>
      </c>
    </row>
    <row r="79" spans="1:20">
      <c r="A79" s="36" t="s">
        <v>115</v>
      </c>
      <c r="B79" s="71">
        <v>37080166</v>
      </c>
      <c r="C79" s="36" t="s">
        <v>203</v>
      </c>
      <c r="D79" s="36" t="s">
        <v>117</v>
      </c>
      <c r="E79" s="36" t="s">
        <v>182</v>
      </c>
      <c r="F79" s="36"/>
      <c r="G79" s="37">
        <v>3283807.6594364815</v>
      </c>
      <c r="H79" s="38">
        <v>41073</v>
      </c>
      <c r="I79" s="39"/>
      <c r="J79" s="38">
        <v>30160</v>
      </c>
      <c r="K79" s="36">
        <f>(DAYS360(J79,$K$1))/360</f>
        <v>-82.577777777777783</v>
      </c>
      <c r="L79" s="36">
        <f>(DAYS360(H79,$K$1))/360</f>
        <v>-112.45277777777778</v>
      </c>
      <c r="M79" s="40" t="s">
        <v>34</v>
      </c>
      <c r="N79" s="41" t="str">
        <f t="shared" si="5"/>
        <v>TERMINO INDEFINIDO NUEVO</v>
      </c>
      <c r="O79" s="42">
        <v>405</v>
      </c>
      <c r="P79" s="42">
        <v>3</v>
      </c>
      <c r="Q79" s="35" t="s">
        <v>35</v>
      </c>
      <c r="R79" s="35">
        <v>1</v>
      </c>
      <c r="S79" s="101">
        <v>5</v>
      </c>
      <c r="T79" s="42">
        <v>6</v>
      </c>
    </row>
    <row r="80" spans="1:20">
      <c r="A80" s="25" t="s">
        <v>124</v>
      </c>
      <c r="B80" s="54"/>
      <c r="C80" s="25" t="s">
        <v>204</v>
      </c>
      <c r="D80" s="25" t="s">
        <v>126</v>
      </c>
      <c r="E80" s="25" t="s">
        <v>205</v>
      </c>
      <c r="F80" s="25"/>
      <c r="G80" s="26">
        <v>2802739.64234913</v>
      </c>
      <c r="H80" s="27"/>
      <c r="I80" s="28"/>
      <c r="J80" s="27"/>
      <c r="K80" s="25">
        <f t="shared" si="3"/>
        <v>0</v>
      </c>
      <c r="L80" s="25">
        <f t="shared" si="4"/>
        <v>0</v>
      </c>
      <c r="M80" s="73">
        <v>91</v>
      </c>
      <c r="N80" s="76" t="str">
        <f t="shared" si="5"/>
        <v>OTRO</v>
      </c>
      <c r="O80" s="32">
        <v>409</v>
      </c>
      <c r="P80" s="32"/>
      <c r="Q80" s="29"/>
      <c r="R80" s="29"/>
      <c r="S80" s="59"/>
      <c r="T80" s="32"/>
    </row>
    <row r="81" spans="1:20">
      <c r="A81" s="62" t="s">
        <v>124</v>
      </c>
      <c r="B81" s="74">
        <v>37005222</v>
      </c>
      <c r="C81" s="69" t="s">
        <v>206</v>
      </c>
      <c r="D81" s="62" t="s">
        <v>126</v>
      </c>
      <c r="E81" s="62" t="s">
        <v>207</v>
      </c>
      <c r="F81" s="62"/>
      <c r="G81" s="63">
        <v>2802739.64234913</v>
      </c>
      <c r="H81" s="64">
        <v>43482</v>
      </c>
      <c r="I81" s="65"/>
      <c r="J81" s="64">
        <v>25869</v>
      </c>
      <c r="K81" s="62">
        <f t="shared" si="3"/>
        <v>-70.827777777777783</v>
      </c>
      <c r="L81" s="62">
        <f t="shared" si="4"/>
        <v>-119.04722222222222</v>
      </c>
      <c r="M81" s="66" t="s">
        <v>34</v>
      </c>
      <c r="N81" s="67" t="str">
        <f t="shared" si="5"/>
        <v>TERMINO INDEFINIDO NUEVO</v>
      </c>
      <c r="O81" s="68">
        <v>406</v>
      </c>
      <c r="P81" s="68">
        <v>4</v>
      </c>
      <c r="Q81" s="69" t="s">
        <v>35</v>
      </c>
      <c r="R81" s="69">
        <v>1</v>
      </c>
      <c r="S81" s="70">
        <v>2</v>
      </c>
      <c r="T81" s="68">
        <v>6</v>
      </c>
    </row>
    <row r="82" spans="1:20">
      <c r="A82" s="62" t="s">
        <v>124</v>
      </c>
      <c r="B82" s="61">
        <v>1085265320</v>
      </c>
      <c r="C82" s="62" t="s">
        <v>208</v>
      </c>
      <c r="D82" s="62" t="s">
        <v>126</v>
      </c>
      <c r="E82" s="62" t="s">
        <v>205</v>
      </c>
      <c r="F82" s="62"/>
      <c r="G82" s="63">
        <v>2802739.64234913</v>
      </c>
      <c r="H82" s="64">
        <v>43864</v>
      </c>
      <c r="I82" s="65"/>
      <c r="J82" s="64">
        <v>32156</v>
      </c>
      <c r="K82" s="62">
        <f t="shared" si="3"/>
        <v>-88.038888888888891</v>
      </c>
      <c r="L82" s="62">
        <f t="shared" si="4"/>
        <v>-120.09166666666667</v>
      </c>
      <c r="M82" s="66" t="s">
        <v>34</v>
      </c>
      <c r="N82" s="74" t="str">
        <f t="shared" si="5"/>
        <v>TERMINO INDEFINIDO NUEVO</v>
      </c>
      <c r="O82" s="69">
        <v>409</v>
      </c>
      <c r="P82" s="68">
        <v>4</v>
      </c>
      <c r="Q82" s="69" t="s">
        <v>35</v>
      </c>
      <c r="R82" s="69">
        <v>1</v>
      </c>
      <c r="S82" s="70">
        <v>2</v>
      </c>
      <c r="T82" s="68">
        <v>6</v>
      </c>
    </row>
    <row r="83" spans="1:20">
      <c r="A83" s="25" t="s">
        <v>124</v>
      </c>
      <c r="B83" s="54">
        <v>1140214006</v>
      </c>
      <c r="C83" s="25" t="s">
        <v>209</v>
      </c>
      <c r="D83" s="25" t="s">
        <v>126</v>
      </c>
      <c r="E83" s="25" t="s">
        <v>205</v>
      </c>
      <c r="F83" s="25"/>
      <c r="G83" s="26">
        <v>2802739.64234913</v>
      </c>
      <c r="H83" s="27">
        <v>46255</v>
      </c>
      <c r="I83" s="28">
        <v>46295</v>
      </c>
      <c r="J83" s="27"/>
      <c r="K83" s="25">
        <f>(DAYS360(J83,$K$1))/360</f>
        <v>0</v>
      </c>
      <c r="L83" s="25">
        <f>(DAYS360(H83,$K$1))/360</f>
        <v>-126.64166666666667</v>
      </c>
      <c r="M83" s="73">
        <v>1</v>
      </c>
      <c r="N83" s="30" t="str">
        <f t="shared" si="5"/>
        <v>TERMINO FIJO</v>
      </c>
      <c r="O83" s="29">
        <v>409</v>
      </c>
      <c r="P83" s="29">
        <v>4</v>
      </c>
      <c r="Q83" s="29" t="s">
        <v>30</v>
      </c>
      <c r="R83" s="29">
        <v>1</v>
      </c>
      <c r="S83" s="59">
        <v>5</v>
      </c>
      <c r="T83" s="32">
        <v>4</v>
      </c>
    </row>
    <row r="84" spans="1:20">
      <c r="A84" s="25" t="s">
        <v>36</v>
      </c>
      <c r="B84" s="54">
        <v>1128279375</v>
      </c>
      <c r="C84" s="25" t="s">
        <v>210</v>
      </c>
      <c r="D84" s="25" t="s">
        <v>211</v>
      </c>
      <c r="E84" s="25" t="s">
        <v>205</v>
      </c>
      <c r="F84" s="25" t="s">
        <v>212</v>
      </c>
      <c r="G84" s="26">
        <v>2800872</v>
      </c>
      <c r="H84" s="27">
        <v>46247</v>
      </c>
      <c r="I84" s="28">
        <v>46295</v>
      </c>
      <c r="J84" s="27">
        <v>32624</v>
      </c>
      <c r="K84" s="25">
        <f>(DAYS360(J84,$K$1))/360</f>
        <v>-89.322222222222223</v>
      </c>
      <c r="L84" s="25">
        <f>(DAYS360(H84,$K$1))/360</f>
        <v>-126.61944444444444</v>
      </c>
      <c r="M84" s="73">
        <v>1</v>
      </c>
      <c r="N84" s="76" t="str">
        <f>IF(M84=3,"SALARIO INTEGRAL",IF(M84=2,"TERMINO INDEFINIDO",IF(M84=1,"TERMINO FIJO",IF(M84="2_N","TERMINO INDEFINIDO NUEVO","OTRO"))))</f>
        <v>TERMINO FIJO</v>
      </c>
      <c r="O84" s="32">
        <v>409</v>
      </c>
      <c r="P84" s="32">
        <v>4</v>
      </c>
      <c r="Q84" s="29" t="s">
        <v>35</v>
      </c>
      <c r="R84" s="29">
        <v>1</v>
      </c>
      <c r="S84" s="31">
        <v>5</v>
      </c>
      <c r="T84" s="32">
        <v>4</v>
      </c>
    </row>
    <row r="85" spans="1:20">
      <c r="A85" s="60" t="s">
        <v>51</v>
      </c>
      <c r="B85" s="102">
        <v>1085289485</v>
      </c>
      <c r="C85" s="103" t="s">
        <v>213</v>
      </c>
      <c r="D85" s="62" t="s">
        <v>53</v>
      </c>
      <c r="E85" s="62" t="s">
        <v>182</v>
      </c>
      <c r="F85" s="62"/>
      <c r="G85" s="63">
        <v>3415093.7606045534</v>
      </c>
      <c r="H85" s="64">
        <v>43132</v>
      </c>
      <c r="I85" s="65"/>
      <c r="J85" s="64">
        <v>33411</v>
      </c>
      <c r="K85" s="62">
        <f t="shared" si="3"/>
        <v>-91.477777777777774</v>
      </c>
      <c r="L85" s="62">
        <f t="shared" si="4"/>
        <v>-118.08611111111111</v>
      </c>
      <c r="M85" s="66" t="s">
        <v>34</v>
      </c>
      <c r="N85" s="74" t="str">
        <f t="shared" si="5"/>
        <v>TERMINO INDEFINIDO NUEVO</v>
      </c>
      <c r="O85" s="69">
        <v>405</v>
      </c>
      <c r="P85" s="69">
        <v>4</v>
      </c>
      <c r="Q85" s="69" t="s">
        <v>35</v>
      </c>
      <c r="R85" s="69">
        <v>1</v>
      </c>
      <c r="S85" s="75">
        <v>2</v>
      </c>
      <c r="T85" s="68">
        <v>6</v>
      </c>
    </row>
    <row r="86" spans="1:20">
      <c r="A86" s="24" t="s">
        <v>134</v>
      </c>
      <c r="B86" s="30"/>
      <c r="C86" s="29" t="s">
        <v>159</v>
      </c>
      <c r="D86" s="25" t="s">
        <v>137</v>
      </c>
      <c r="E86" s="25" t="s">
        <v>170</v>
      </c>
      <c r="F86" s="25"/>
      <c r="G86" s="26">
        <v>3971698.29</v>
      </c>
      <c r="H86" s="27"/>
      <c r="I86" s="28"/>
      <c r="J86" s="27"/>
      <c r="K86" s="25">
        <f>(DAYS360(J86,$K$1))/360</f>
        <v>0</v>
      </c>
      <c r="L86" s="25">
        <f>(DAYS360(H86,$K$1))/360</f>
        <v>0</v>
      </c>
      <c r="M86" s="73">
        <v>91</v>
      </c>
      <c r="N86" s="76" t="str">
        <f t="shared" si="5"/>
        <v>OTRO</v>
      </c>
      <c r="O86" s="32">
        <v>403</v>
      </c>
      <c r="P86" s="32"/>
      <c r="Q86" s="29"/>
      <c r="R86" s="29"/>
      <c r="S86" s="59"/>
      <c r="T86" s="32"/>
    </row>
    <row r="87" spans="1:20">
      <c r="A87" s="24" t="s">
        <v>134</v>
      </c>
      <c r="B87" s="25" t="s">
        <v>214</v>
      </c>
      <c r="C87" s="25" t="s">
        <v>215</v>
      </c>
      <c r="D87" s="25" t="s">
        <v>137</v>
      </c>
      <c r="E87" s="25" t="s">
        <v>205</v>
      </c>
      <c r="F87" s="25"/>
      <c r="G87" s="26">
        <v>5637209.9356840365</v>
      </c>
      <c r="H87" s="81">
        <v>37137</v>
      </c>
      <c r="I87" s="82"/>
      <c r="J87" s="27">
        <v>26582</v>
      </c>
      <c r="K87" s="25">
        <f t="shared" si="3"/>
        <v>-72.777777777777771</v>
      </c>
      <c r="L87" s="25">
        <f t="shared" si="4"/>
        <v>-101.675</v>
      </c>
      <c r="M87" s="29">
        <v>2</v>
      </c>
      <c r="N87" s="76" t="str">
        <f t="shared" si="5"/>
        <v>TERMINO INDEFINIDO</v>
      </c>
      <c r="O87" s="32">
        <v>409</v>
      </c>
      <c r="P87" s="32">
        <v>4</v>
      </c>
      <c r="Q87" s="29" t="s">
        <v>30</v>
      </c>
      <c r="R87" s="29">
        <v>1</v>
      </c>
      <c r="S87" s="59">
        <v>5</v>
      </c>
      <c r="T87" s="32">
        <v>6</v>
      </c>
    </row>
    <row r="88" spans="1:20">
      <c r="A88" s="25" t="s">
        <v>139</v>
      </c>
      <c r="B88" s="54" t="s">
        <v>216</v>
      </c>
      <c r="C88" s="25" t="s">
        <v>217</v>
      </c>
      <c r="D88" s="25" t="s">
        <v>218</v>
      </c>
      <c r="E88" s="25" t="s">
        <v>205</v>
      </c>
      <c r="F88" s="25"/>
      <c r="G88" s="26">
        <v>3707009.3133</v>
      </c>
      <c r="H88" s="27">
        <v>36466</v>
      </c>
      <c r="I88" s="28"/>
      <c r="J88" s="27">
        <v>27153</v>
      </c>
      <c r="K88" s="25">
        <f t="shared" si="3"/>
        <v>-74.344444444444449</v>
      </c>
      <c r="L88" s="25">
        <f t="shared" si="4"/>
        <v>-99.838888888888889</v>
      </c>
      <c r="M88" s="29">
        <v>2</v>
      </c>
      <c r="N88" s="30" t="str">
        <f t="shared" si="5"/>
        <v>TERMINO INDEFINIDO</v>
      </c>
      <c r="O88" s="29">
        <v>409</v>
      </c>
      <c r="P88" s="29">
        <v>4</v>
      </c>
      <c r="Q88" s="29" t="s">
        <v>35</v>
      </c>
      <c r="R88" s="29">
        <v>1</v>
      </c>
      <c r="S88" s="31">
        <v>5</v>
      </c>
      <c r="T88" s="32">
        <v>6</v>
      </c>
    </row>
    <row r="89" spans="1:20">
      <c r="A89" s="36" t="s">
        <v>77</v>
      </c>
      <c r="B89" s="71">
        <v>10556271</v>
      </c>
      <c r="C89" s="36" t="s">
        <v>219</v>
      </c>
      <c r="D89" s="36" t="s">
        <v>79</v>
      </c>
      <c r="E89" s="36" t="s">
        <v>179</v>
      </c>
      <c r="F89" s="36"/>
      <c r="G89" s="37">
        <v>3650451.9472095771</v>
      </c>
      <c r="H89" s="38">
        <v>39204</v>
      </c>
      <c r="I89" s="39"/>
      <c r="J89" s="38">
        <v>23464</v>
      </c>
      <c r="K89" s="36">
        <f t="shared" si="3"/>
        <v>-64.24444444444444</v>
      </c>
      <c r="L89" s="36">
        <f t="shared" si="4"/>
        <v>-107.33888888888889</v>
      </c>
      <c r="M89" s="40" t="s">
        <v>34</v>
      </c>
      <c r="N89" s="41" t="str">
        <f t="shared" si="5"/>
        <v>TERMINO INDEFINIDO NUEVO</v>
      </c>
      <c r="O89" s="42">
        <v>406</v>
      </c>
      <c r="P89" s="42">
        <v>4</v>
      </c>
      <c r="Q89" s="35" t="s">
        <v>30</v>
      </c>
      <c r="R89" s="35">
        <v>1</v>
      </c>
      <c r="S89" s="94">
        <v>2</v>
      </c>
      <c r="T89" s="42">
        <v>5</v>
      </c>
    </row>
    <row r="90" spans="1:20">
      <c r="A90" s="62" t="s">
        <v>220</v>
      </c>
      <c r="B90" s="61">
        <v>37081634</v>
      </c>
      <c r="C90" s="62" t="s">
        <v>221</v>
      </c>
      <c r="D90" s="62" t="s">
        <v>222</v>
      </c>
      <c r="E90" s="62" t="s">
        <v>205</v>
      </c>
      <c r="F90" s="62"/>
      <c r="G90" s="63">
        <v>3120218.4913464608</v>
      </c>
      <c r="H90" s="64">
        <v>43556</v>
      </c>
      <c r="I90" s="65"/>
      <c r="J90" s="64">
        <v>30398</v>
      </c>
      <c r="K90" s="62">
        <f t="shared" si="3"/>
        <v>-83.230555555555554</v>
      </c>
      <c r="L90" s="62">
        <f t="shared" si="4"/>
        <v>-119.25277777777778</v>
      </c>
      <c r="M90" s="66" t="s">
        <v>34</v>
      </c>
      <c r="N90" s="67" t="str">
        <f t="shared" si="5"/>
        <v>TERMINO INDEFINIDO NUEVO</v>
      </c>
      <c r="O90" s="68">
        <v>409</v>
      </c>
      <c r="P90" s="68">
        <v>4</v>
      </c>
      <c r="Q90" s="69" t="s">
        <v>35</v>
      </c>
      <c r="R90" s="69">
        <v>1</v>
      </c>
      <c r="S90" s="70"/>
      <c r="T90" s="68">
        <v>6</v>
      </c>
    </row>
    <row r="91" spans="1:20">
      <c r="A91" s="104" t="s">
        <v>149</v>
      </c>
      <c r="B91" s="61">
        <v>1085262261</v>
      </c>
      <c r="C91" s="62" t="s">
        <v>223</v>
      </c>
      <c r="D91" s="62" t="s">
        <v>151</v>
      </c>
      <c r="E91" s="62" t="s">
        <v>166</v>
      </c>
      <c r="F91" s="62" t="s">
        <v>81</v>
      </c>
      <c r="G91" s="63">
        <v>3415095</v>
      </c>
      <c r="H91" s="64">
        <v>44621</v>
      </c>
      <c r="I91" s="65"/>
      <c r="J91" s="64">
        <v>32098</v>
      </c>
      <c r="K91" s="62">
        <f>(DAYS360(J91,$K$1))/360</f>
        <v>-87.88055555555556</v>
      </c>
      <c r="L91" s="62">
        <f>(DAYS360(H91,$K$1))/360</f>
        <v>-122.16944444444445</v>
      </c>
      <c r="M91" s="66" t="s">
        <v>34</v>
      </c>
      <c r="N91" s="74" t="str">
        <f t="shared" si="5"/>
        <v>TERMINO INDEFINIDO NUEVO</v>
      </c>
      <c r="O91" s="69">
        <v>402</v>
      </c>
      <c r="P91" s="69">
        <v>3</v>
      </c>
      <c r="Q91" s="69" t="s">
        <v>35</v>
      </c>
      <c r="R91" s="69">
        <v>1</v>
      </c>
      <c r="S91" s="75">
        <v>4</v>
      </c>
      <c r="T91" s="68">
        <v>6</v>
      </c>
    </row>
    <row r="92" spans="1:20">
      <c r="A92" s="24" t="s">
        <v>153</v>
      </c>
      <c r="B92" s="54">
        <v>36759693</v>
      </c>
      <c r="C92" s="25" t="s">
        <v>224</v>
      </c>
      <c r="D92" s="25" t="s">
        <v>225</v>
      </c>
      <c r="E92" s="25" t="s">
        <v>173</v>
      </c>
      <c r="F92" s="25"/>
      <c r="G92" s="26">
        <v>3120218</v>
      </c>
      <c r="H92" s="27">
        <v>46143</v>
      </c>
      <c r="I92" s="28">
        <v>46387</v>
      </c>
      <c r="J92" s="27">
        <v>30295</v>
      </c>
      <c r="K92" s="25">
        <f>(DAYS360(J92,$K$1))/360</f>
        <v>-82.944444444444443</v>
      </c>
      <c r="L92" s="25">
        <f>(DAYS360(H92,$K$1))/360</f>
        <v>-126.33611111111111</v>
      </c>
      <c r="M92" s="73">
        <v>1</v>
      </c>
      <c r="N92" s="76" t="str">
        <f>IF(M92=3,"SALARIO INTEGRAL",IF(M92=2,"TERMINO INDEFINIDO",IF(M92=1,"TERMINO FIJO",IF(M92="2_N","TERMINO INDEFINIDO NUEVO","OTRO"))))</f>
        <v>TERMINO FIJO</v>
      </c>
      <c r="O92" s="32">
        <v>404</v>
      </c>
      <c r="P92" s="32">
        <v>4</v>
      </c>
      <c r="Q92" s="29" t="s">
        <v>35</v>
      </c>
      <c r="R92" s="29">
        <v>1</v>
      </c>
      <c r="S92" s="59">
        <v>2</v>
      </c>
      <c r="T92" s="32">
        <v>6</v>
      </c>
    </row>
    <row r="93" spans="1:20">
      <c r="A93" s="105" t="s">
        <v>153</v>
      </c>
      <c r="B93" s="45">
        <v>37085076</v>
      </c>
      <c r="C93" s="44" t="s">
        <v>226</v>
      </c>
      <c r="D93" s="44" t="s">
        <v>155</v>
      </c>
      <c r="E93" s="44" t="s">
        <v>205</v>
      </c>
      <c r="F93" s="44" t="s">
        <v>227</v>
      </c>
      <c r="G93" s="46">
        <v>3120218.4913464608</v>
      </c>
      <c r="H93" s="47">
        <v>44197</v>
      </c>
      <c r="I93" s="48"/>
      <c r="J93" s="47">
        <v>31009</v>
      </c>
      <c r="K93" s="44">
        <f t="shared" si="3"/>
        <v>-84.897222222222226</v>
      </c>
      <c r="L93" s="44">
        <f t="shared" si="4"/>
        <v>-121.00277777777778</v>
      </c>
      <c r="M93" s="49" t="s">
        <v>34</v>
      </c>
      <c r="N93" s="106" t="str">
        <f t="shared" si="5"/>
        <v>TERMINO INDEFINIDO NUEVO</v>
      </c>
      <c r="O93" s="53">
        <v>409</v>
      </c>
      <c r="P93" s="53">
        <v>4</v>
      </c>
      <c r="Q93" s="51" t="s">
        <v>35</v>
      </c>
      <c r="R93" s="51">
        <v>1</v>
      </c>
      <c r="S93" s="97">
        <v>2</v>
      </c>
      <c r="T93" s="53">
        <v>4</v>
      </c>
    </row>
    <row r="94" spans="1:20">
      <c r="A94" s="33" t="s">
        <v>153</v>
      </c>
      <c r="B94" s="71">
        <v>30726239</v>
      </c>
      <c r="C94" s="36" t="s">
        <v>228</v>
      </c>
      <c r="D94" s="36" t="s">
        <v>225</v>
      </c>
      <c r="E94" s="36" t="s">
        <v>177</v>
      </c>
      <c r="F94" s="36"/>
      <c r="G94" s="37">
        <v>3120218.4913464608</v>
      </c>
      <c r="H94" s="38">
        <v>36619</v>
      </c>
      <c r="I94" s="39"/>
      <c r="J94" s="38">
        <v>23477</v>
      </c>
      <c r="K94" s="36">
        <f t="shared" si="3"/>
        <v>-64.277777777777771</v>
      </c>
      <c r="L94" s="36">
        <f t="shared" si="4"/>
        <v>-100.25833333333334</v>
      </c>
      <c r="M94" s="40" t="s">
        <v>34</v>
      </c>
      <c r="N94" s="41" t="str">
        <f t="shared" si="5"/>
        <v>TERMINO INDEFINIDO NUEVO</v>
      </c>
      <c r="O94" s="42">
        <v>407</v>
      </c>
      <c r="P94" s="42">
        <v>4</v>
      </c>
      <c r="Q94" s="35" t="s">
        <v>35</v>
      </c>
      <c r="R94" s="35">
        <v>1</v>
      </c>
      <c r="S94" s="107">
        <v>5</v>
      </c>
      <c r="T94" s="42">
        <v>6</v>
      </c>
    </row>
    <row r="95" spans="1:20">
      <c r="A95" s="33" t="s">
        <v>153</v>
      </c>
      <c r="B95" s="71">
        <v>36755487</v>
      </c>
      <c r="C95" s="36" t="s">
        <v>229</v>
      </c>
      <c r="D95" s="108" t="s">
        <v>225</v>
      </c>
      <c r="E95" s="36" t="s">
        <v>179</v>
      </c>
      <c r="F95" s="36"/>
      <c r="G95" s="37">
        <v>3120218.4913464608</v>
      </c>
      <c r="H95" s="38">
        <v>39449</v>
      </c>
      <c r="I95" s="39"/>
      <c r="J95" s="38">
        <v>29828</v>
      </c>
      <c r="K95" s="36">
        <f t="shared" si="3"/>
        <v>-81.666666666666671</v>
      </c>
      <c r="L95" s="36">
        <f t="shared" si="4"/>
        <v>-108.00555555555556</v>
      </c>
      <c r="M95" s="40" t="s">
        <v>34</v>
      </c>
      <c r="N95" s="41" t="str">
        <f t="shared" si="5"/>
        <v>TERMINO INDEFINIDO NUEVO</v>
      </c>
      <c r="O95" s="42">
        <v>406</v>
      </c>
      <c r="P95" s="42">
        <v>4</v>
      </c>
      <c r="Q95" s="35" t="s">
        <v>35</v>
      </c>
      <c r="R95" s="35">
        <v>1</v>
      </c>
      <c r="S95" s="94">
        <v>2</v>
      </c>
      <c r="T95" s="42">
        <v>6</v>
      </c>
    </row>
    <row r="96" spans="1:20">
      <c r="A96" s="24" t="s">
        <v>153</v>
      </c>
      <c r="B96" s="30">
        <v>1085293423</v>
      </c>
      <c r="C96" s="29" t="s">
        <v>230</v>
      </c>
      <c r="D96" s="25" t="s">
        <v>155</v>
      </c>
      <c r="E96" s="25" t="s">
        <v>192</v>
      </c>
      <c r="F96" s="25"/>
      <c r="G96" s="26">
        <v>3120218.4913464608</v>
      </c>
      <c r="H96" s="27">
        <v>44977</v>
      </c>
      <c r="I96" s="28">
        <v>46387</v>
      </c>
      <c r="J96" s="27">
        <v>33582</v>
      </c>
      <c r="K96" s="25">
        <f t="shared" ref="K96:K119" si="6">(DAYS360(J96,$K$1))/360</f>
        <v>-91.944444444444443</v>
      </c>
      <c r="L96" s="25">
        <f t="shared" ref="L96:L119" si="7">(DAYS360(H96,$K$1))/360</f>
        <v>-123.13888888888889</v>
      </c>
      <c r="M96" s="73">
        <v>1</v>
      </c>
      <c r="N96" s="76" t="str">
        <f t="shared" si="5"/>
        <v>TERMINO FIJO</v>
      </c>
      <c r="O96" s="32">
        <v>408</v>
      </c>
      <c r="P96" s="32">
        <v>4</v>
      </c>
      <c r="Q96" s="29" t="s">
        <v>30</v>
      </c>
      <c r="R96" s="29">
        <v>1</v>
      </c>
      <c r="S96" s="59">
        <v>5</v>
      </c>
      <c r="T96" s="32">
        <v>6</v>
      </c>
    </row>
    <row r="97" spans="1:20">
      <c r="A97" s="33" t="s">
        <v>153</v>
      </c>
      <c r="B97" s="71">
        <v>59829511</v>
      </c>
      <c r="C97" s="36" t="s">
        <v>231</v>
      </c>
      <c r="D97" s="36" t="s">
        <v>155</v>
      </c>
      <c r="E97" s="36" t="s">
        <v>182</v>
      </c>
      <c r="F97" s="36"/>
      <c r="G97" s="37">
        <v>3120218.4913464608</v>
      </c>
      <c r="H97" s="38">
        <v>42857</v>
      </c>
      <c r="I97" s="39"/>
      <c r="J97" s="38">
        <v>27630</v>
      </c>
      <c r="K97" s="36">
        <f t="shared" si="6"/>
        <v>-75.650000000000006</v>
      </c>
      <c r="L97" s="36">
        <f t="shared" si="7"/>
        <v>-117.33888888888889</v>
      </c>
      <c r="M97" s="40" t="s">
        <v>34</v>
      </c>
      <c r="N97" s="41" t="str">
        <f t="shared" si="5"/>
        <v>TERMINO INDEFINIDO NUEVO</v>
      </c>
      <c r="O97" s="42">
        <v>405</v>
      </c>
      <c r="P97" s="42">
        <v>3</v>
      </c>
      <c r="Q97" s="35" t="s">
        <v>35</v>
      </c>
      <c r="R97" s="35">
        <v>1</v>
      </c>
      <c r="S97" s="94">
        <v>2</v>
      </c>
      <c r="T97" s="42">
        <v>6</v>
      </c>
    </row>
    <row r="98" spans="1:20">
      <c r="A98" s="24" t="s">
        <v>153</v>
      </c>
      <c r="B98" s="54">
        <v>1085320026</v>
      </c>
      <c r="C98" s="25" t="s">
        <v>232</v>
      </c>
      <c r="D98" s="25" t="s">
        <v>155</v>
      </c>
      <c r="E98" s="25" t="s">
        <v>170</v>
      </c>
      <c r="F98" s="25"/>
      <c r="G98" s="26">
        <v>3120218.49</v>
      </c>
      <c r="H98" s="27">
        <v>45429</v>
      </c>
      <c r="I98" s="28">
        <v>46387</v>
      </c>
      <c r="J98" s="27">
        <v>34804</v>
      </c>
      <c r="K98" s="25">
        <f>(DAYS360(J98,$K$1))/360</f>
        <v>-95.291666666666671</v>
      </c>
      <c r="L98" s="25">
        <f>(DAYS360(H98,$K$1))/360</f>
        <v>-124.38055555555556</v>
      </c>
      <c r="M98" s="29">
        <v>1</v>
      </c>
      <c r="N98" s="30" t="str">
        <f t="shared" si="5"/>
        <v>TERMINO FIJO</v>
      </c>
      <c r="O98" s="29">
        <v>403</v>
      </c>
      <c r="P98" s="29">
        <v>5</v>
      </c>
      <c r="Q98" s="29" t="s">
        <v>30</v>
      </c>
      <c r="R98" s="29">
        <v>1</v>
      </c>
      <c r="S98" s="31">
        <v>5</v>
      </c>
      <c r="T98" s="32">
        <v>6</v>
      </c>
    </row>
    <row r="99" spans="1:20">
      <c r="A99" s="24" t="s">
        <v>233</v>
      </c>
      <c r="B99" s="54">
        <v>1004771716</v>
      </c>
      <c r="C99" s="25" t="s">
        <v>234</v>
      </c>
      <c r="D99" s="25" t="s">
        <v>235</v>
      </c>
      <c r="E99" s="25" t="s">
        <v>177</v>
      </c>
      <c r="F99" s="25" t="s">
        <v>236</v>
      </c>
      <c r="G99" s="26">
        <v>2677768.25453676</v>
      </c>
      <c r="H99" s="27">
        <v>45139</v>
      </c>
      <c r="I99" s="28">
        <v>46387</v>
      </c>
      <c r="J99" s="27">
        <v>36765</v>
      </c>
      <c r="K99" s="25">
        <f t="shared" si="6"/>
        <v>-100.65833333333333</v>
      </c>
      <c r="L99" s="25">
        <f t="shared" si="7"/>
        <v>-123.58611111111111</v>
      </c>
      <c r="M99" s="29">
        <v>1</v>
      </c>
      <c r="N99" s="76" t="str">
        <f t="shared" si="5"/>
        <v>TERMINO FIJO</v>
      </c>
      <c r="O99" s="32">
        <v>407</v>
      </c>
      <c r="P99" s="32">
        <v>3</v>
      </c>
      <c r="Q99" s="29" t="s">
        <v>30</v>
      </c>
      <c r="R99" s="29">
        <v>2</v>
      </c>
      <c r="S99" s="59">
        <v>2</v>
      </c>
      <c r="T99" s="32">
        <v>5</v>
      </c>
    </row>
    <row r="100" spans="1:20">
      <c r="A100" s="62" t="s">
        <v>237</v>
      </c>
      <c r="B100" s="61">
        <v>12753539</v>
      </c>
      <c r="C100" s="62" t="s">
        <v>238</v>
      </c>
      <c r="D100" s="62" t="s">
        <v>239</v>
      </c>
      <c r="E100" s="62" t="s">
        <v>179</v>
      </c>
      <c r="F100" s="62" t="s">
        <v>240</v>
      </c>
      <c r="G100" s="63">
        <v>2796467.5818046797</v>
      </c>
      <c r="H100" s="64">
        <v>43132</v>
      </c>
      <c r="I100" s="65"/>
      <c r="J100" s="64">
        <v>30048</v>
      </c>
      <c r="K100" s="62">
        <f t="shared" si="6"/>
        <v>-82.269444444444446</v>
      </c>
      <c r="L100" s="62">
        <f t="shared" si="7"/>
        <v>-118.08611111111111</v>
      </c>
      <c r="M100" s="66" t="s">
        <v>34</v>
      </c>
      <c r="N100" s="67" t="str">
        <f t="shared" si="5"/>
        <v>TERMINO INDEFINIDO NUEVO</v>
      </c>
      <c r="O100" s="68">
        <v>406</v>
      </c>
      <c r="P100" s="68">
        <v>4</v>
      </c>
      <c r="Q100" s="69" t="s">
        <v>30</v>
      </c>
      <c r="R100" s="69">
        <v>2</v>
      </c>
      <c r="S100" s="70">
        <v>1</v>
      </c>
      <c r="T100" s="68">
        <v>7</v>
      </c>
    </row>
    <row r="101" spans="1:20">
      <c r="A101" s="25" t="s">
        <v>237</v>
      </c>
      <c r="B101" s="54" t="s">
        <v>241</v>
      </c>
      <c r="C101" s="25" t="s">
        <v>242</v>
      </c>
      <c r="D101" s="25" t="s">
        <v>239</v>
      </c>
      <c r="E101" s="25" t="s">
        <v>179</v>
      </c>
      <c r="F101" s="25"/>
      <c r="G101" s="26">
        <v>2796467.5818046797</v>
      </c>
      <c r="H101" s="27">
        <v>32002</v>
      </c>
      <c r="I101" s="28"/>
      <c r="J101" s="27">
        <v>23286</v>
      </c>
      <c r="K101" s="25">
        <f t="shared" si="6"/>
        <v>-63.755555555555553</v>
      </c>
      <c r="L101" s="25">
        <f t="shared" si="7"/>
        <v>-87.61944444444444</v>
      </c>
      <c r="M101" s="29">
        <v>2</v>
      </c>
      <c r="N101" s="76" t="str">
        <f t="shared" si="5"/>
        <v>TERMINO INDEFINIDO</v>
      </c>
      <c r="O101" s="32">
        <v>406</v>
      </c>
      <c r="P101" s="32">
        <v>4</v>
      </c>
      <c r="Q101" s="29" t="s">
        <v>30</v>
      </c>
      <c r="R101" s="29">
        <v>2</v>
      </c>
      <c r="S101" s="59">
        <v>1</v>
      </c>
      <c r="T101" s="32">
        <v>7</v>
      </c>
    </row>
    <row r="102" spans="1:20">
      <c r="A102" s="36" t="s">
        <v>237</v>
      </c>
      <c r="B102" s="71">
        <v>5207306</v>
      </c>
      <c r="C102" s="36" t="s">
        <v>243</v>
      </c>
      <c r="D102" s="36" t="s">
        <v>239</v>
      </c>
      <c r="E102" s="36" t="s">
        <v>179</v>
      </c>
      <c r="F102" s="36"/>
      <c r="G102" s="37">
        <v>2796467.5818046797</v>
      </c>
      <c r="H102" s="38">
        <v>39356</v>
      </c>
      <c r="I102" s="39"/>
      <c r="J102" s="38">
        <v>29394</v>
      </c>
      <c r="K102" s="36">
        <f t="shared" si="6"/>
        <v>-80.477777777777774</v>
      </c>
      <c r="L102" s="36">
        <f t="shared" si="7"/>
        <v>-107.75277777777778</v>
      </c>
      <c r="M102" s="40" t="s">
        <v>34</v>
      </c>
      <c r="N102" s="41" t="str">
        <f t="shared" si="5"/>
        <v>TERMINO INDEFINIDO NUEVO</v>
      </c>
      <c r="O102" s="42">
        <v>406</v>
      </c>
      <c r="P102" s="42">
        <v>4</v>
      </c>
      <c r="Q102" s="35" t="s">
        <v>30</v>
      </c>
      <c r="R102" s="35">
        <v>2</v>
      </c>
      <c r="S102" s="94">
        <v>2</v>
      </c>
      <c r="T102" s="42">
        <v>7</v>
      </c>
    </row>
    <row r="103" spans="1:20">
      <c r="A103" s="36" t="s">
        <v>237</v>
      </c>
      <c r="B103" s="71">
        <v>12995275</v>
      </c>
      <c r="C103" s="36" t="s">
        <v>244</v>
      </c>
      <c r="D103" s="36" t="s">
        <v>239</v>
      </c>
      <c r="E103" s="36" t="s">
        <v>179</v>
      </c>
      <c r="F103" s="36"/>
      <c r="G103" s="37">
        <v>2796467.5818046797</v>
      </c>
      <c r="H103" s="38">
        <v>40365</v>
      </c>
      <c r="I103" s="39"/>
      <c r="J103" s="38">
        <v>25331</v>
      </c>
      <c r="K103" s="36">
        <f t="shared" si="6"/>
        <v>-69.355555555555554</v>
      </c>
      <c r="L103" s="36">
        <f t="shared" si="7"/>
        <v>-110.51666666666667</v>
      </c>
      <c r="M103" s="40" t="s">
        <v>34</v>
      </c>
      <c r="N103" s="41" t="str">
        <f t="shared" si="5"/>
        <v>TERMINO INDEFINIDO NUEVO</v>
      </c>
      <c r="O103" s="42">
        <v>406</v>
      </c>
      <c r="P103" s="42">
        <v>4</v>
      </c>
      <c r="Q103" s="35" t="s">
        <v>30</v>
      </c>
      <c r="R103" s="35">
        <v>2</v>
      </c>
      <c r="S103" s="94">
        <v>2</v>
      </c>
      <c r="T103" s="42">
        <v>7</v>
      </c>
    </row>
    <row r="104" spans="1:20">
      <c r="A104" s="25" t="s">
        <v>237</v>
      </c>
      <c r="B104" s="54" t="s">
        <v>245</v>
      </c>
      <c r="C104" s="25" t="s">
        <v>246</v>
      </c>
      <c r="D104" s="25" t="s">
        <v>239</v>
      </c>
      <c r="E104" s="25" t="s">
        <v>179</v>
      </c>
      <c r="F104" s="25"/>
      <c r="G104" s="26">
        <v>2796467.5818046797</v>
      </c>
      <c r="H104" s="27">
        <v>36601</v>
      </c>
      <c r="I104" s="28"/>
      <c r="J104" s="27">
        <v>22471</v>
      </c>
      <c r="K104" s="25">
        <f t="shared" si="6"/>
        <v>-61.524999999999999</v>
      </c>
      <c r="L104" s="25">
        <f t="shared" si="7"/>
        <v>-100.21111111111111</v>
      </c>
      <c r="M104" s="29">
        <v>2</v>
      </c>
      <c r="N104" s="76" t="str">
        <f t="shared" si="5"/>
        <v>TERMINO INDEFINIDO</v>
      </c>
      <c r="O104" s="32">
        <v>406</v>
      </c>
      <c r="P104" s="32">
        <v>4</v>
      </c>
      <c r="Q104" s="29" t="s">
        <v>30</v>
      </c>
      <c r="R104" s="29">
        <v>2</v>
      </c>
      <c r="S104" s="59">
        <v>2</v>
      </c>
      <c r="T104" s="32">
        <v>7</v>
      </c>
    </row>
    <row r="105" spans="1:20">
      <c r="A105" s="25" t="s">
        <v>237</v>
      </c>
      <c r="B105" s="54">
        <v>1087188991</v>
      </c>
      <c r="C105" s="25" t="s">
        <v>247</v>
      </c>
      <c r="D105" s="25" t="s">
        <v>248</v>
      </c>
      <c r="E105" s="25" t="s">
        <v>179</v>
      </c>
      <c r="F105" s="25" t="s">
        <v>249</v>
      </c>
      <c r="G105" s="26">
        <v>2796467.5818046797</v>
      </c>
      <c r="H105" s="27">
        <v>45537</v>
      </c>
      <c r="I105" s="28">
        <v>46387</v>
      </c>
      <c r="J105" s="27">
        <v>33520</v>
      </c>
      <c r="K105" s="25">
        <f t="shared" si="6"/>
        <v>-91.775000000000006</v>
      </c>
      <c r="L105" s="25">
        <f t="shared" si="7"/>
        <v>-124.67222222222222</v>
      </c>
      <c r="M105" s="73">
        <v>1</v>
      </c>
      <c r="N105" s="30" t="str">
        <f t="shared" si="5"/>
        <v>TERMINO FIJO</v>
      </c>
      <c r="O105" s="29">
        <v>406</v>
      </c>
      <c r="P105" s="29">
        <v>4</v>
      </c>
      <c r="Q105" s="29" t="s">
        <v>30</v>
      </c>
      <c r="R105" s="29">
        <v>2</v>
      </c>
      <c r="S105" s="31">
        <v>2</v>
      </c>
      <c r="T105" s="32">
        <v>7</v>
      </c>
    </row>
    <row r="106" spans="1:20">
      <c r="A106" s="25" t="s">
        <v>237</v>
      </c>
      <c r="B106" s="54" t="s">
        <v>250</v>
      </c>
      <c r="C106" s="25" t="s">
        <v>251</v>
      </c>
      <c r="D106" s="25" t="s">
        <v>239</v>
      </c>
      <c r="E106" s="25" t="s">
        <v>179</v>
      </c>
      <c r="F106" s="25"/>
      <c r="G106" s="26">
        <v>2796467.5818046797</v>
      </c>
      <c r="H106" s="27">
        <v>36601</v>
      </c>
      <c r="I106" s="28"/>
      <c r="J106" s="27">
        <v>27582</v>
      </c>
      <c r="K106" s="25">
        <f t="shared" si="6"/>
        <v>-75.519444444444446</v>
      </c>
      <c r="L106" s="25">
        <f t="shared" si="7"/>
        <v>-100.21111111111111</v>
      </c>
      <c r="M106" s="29">
        <v>2</v>
      </c>
      <c r="N106" s="76" t="str">
        <f t="shared" si="5"/>
        <v>TERMINO INDEFINIDO</v>
      </c>
      <c r="O106" s="32">
        <v>406</v>
      </c>
      <c r="P106" s="32">
        <v>4</v>
      </c>
      <c r="Q106" s="29" t="s">
        <v>30</v>
      </c>
      <c r="R106" s="29">
        <v>2</v>
      </c>
      <c r="S106" s="59">
        <v>2</v>
      </c>
      <c r="T106" s="32">
        <v>7</v>
      </c>
    </row>
    <row r="107" spans="1:20">
      <c r="A107" s="25" t="s">
        <v>237</v>
      </c>
      <c r="B107" s="54" t="s">
        <v>252</v>
      </c>
      <c r="C107" s="25" t="s">
        <v>253</v>
      </c>
      <c r="D107" s="25" t="s">
        <v>239</v>
      </c>
      <c r="E107" s="25" t="s">
        <v>179</v>
      </c>
      <c r="F107" s="25"/>
      <c r="G107" s="26">
        <v>2796467.5818046797</v>
      </c>
      <c r="H107" s="27">
        <v>36360</v>
      </c>
      <c r="I107" s="28"/>
      <c r="J107" s="27">
        <v>24093</v>
      </c>
      <c r="K107" s="25">
        <f t="shared" si="6"/>
        <v>-65.963888888888889</v>
      </c>
      <c r="L107" s="25">
        <f t="shared" si="7"/>
        <v>-99.552777777777777</v>
      </c>
      <c r="M107" s="29">
        <v>2</v>
      </c>
      <c r="N107" s="76" t="str">
        <f t="shared" si="5"/>
        <v>TERMINO INDEFINIDO</v>
      </c>
      <c r="O107" s="32">
        <v>406</v>
      </c>
      <c r="P107" s="32">
        <v>4</v>
      </c>
      <c r="Q107" s="29" t="s">
        <v>30</v>
      </c>
      <c r="R107" s="29">
        <v>2</v>
      </c>
      <c r="S107" s="59">
        <v>2</v>
      </c>
      <c r="T107" s="32">
        <v>7</v>
      </c>
    </row>
    <row r="108" spans="1:20">
      <c r="A108" s="25" t="s">
        <v>237</v>
      </c>
      <c r="B108" s="54">
        <v>1085281473</v>
      </c>
      <c r="C108" s="25" t="s">
        <v>254</v>
      </c>
      <c r="D108" s="25" t="s">
        <v>239</v>
      </c>
      <c r="E108" s="25" t="s">
        <v>179</v>
      </c>
      <c r="F108" s="25" t="s">
        <v>255</v>
      </c>
      <c r="G108" s="26">
        <v>2796467.5818046797</v>
      </c>
      <c r="H108" s="27">
        <v>46036</v>
      </c>
      <c r="I108" s="28">
        <v>46295</v>
      </c>
      <c r="J108" s="27">
        <v>32987</v>
      </c>
      <c r="K108" s="25">
        <f t="shared" si="6"/>
        <v>-90.316666666666663</v>
      </c>
      <c r="L108" s="25">
        <f t="shared" si="7"/>
        <v>-126.03888888888889</v>
      </c>
      <c r="M108" s="29">
        <v>1</v>
      </c>
      <c r="N108" s="76" t="str">
        <f t="shared" si="5"/>
        <v>TERMINO FIJO</v>
      </c>
      <c r="O108" s="32">
        <v>406</v>
      </c>
      <c r="P108" s="32">
        <v>4</v>
      </c>
      <c r="Q108" s="29" t="s">
        <v>35</v>
      </c>
      <c r="R108" s="29">
        <v>2</v>
      </c>
      <c r="S108" s="59">
        <v>2</v>
      </c>
      <c r="T108" s="32">
        <v>7</v>
      </c>
    </row>
    <row r="109" spans="1:20" ht="31.8">
      <c r="A109" s="25" t="s">
        <v>237</v>
      </c>
      <c r="B109" s="109">
        <v>98364818</v>
      </c>
      <c r="C109" s="110" t="s">
        <v>256</v>
      </c>
      <c r="D109" s="25" t="s">
        <v>239</v>
      </c>
      <c r="E109" s="25" t="s">
        <v>179</v>
      </c>
      <c r="F109" s="25"/>
      <c r="G109" s="26">
        <v>2796467.5818046797</v>
      </c>
      <c r="H109" s="27">
        <v>46024</v>
      </c>
      <c r="I109" s="28">
        <v>46387</v>
      </c>
      <c r="J109" s="27">
        <v>25122</v>
      </c>
      <c r="K109" s="25">
        <f t="shared" si="6"/>
        <v>-68.780555555555551</v>
      </c>
      <c r="L109" s="25">
        <f t="shared" si="7"/>
        <v>-126.00555555555556</v>
      </c>
      <c r="M109" s="29">
        <v>1</v>
      </c>
      <c r="N109" s="76" t="str">
        <f t="shared" si="5"/>
        <v>TERMINO FIJO</v>
      </c>
      <c r="O109" s="32">
        <v>406</v>
      </c>
      <c r="P109" s="32">
        <v>4</v>
      </c>
      <c r="Q109" s="29" t="s">
        <v>30</v>
      </c>
      <c r="R109" s="29">
        <v>2</v>
      </c>
      <c r="S109" s="59">
        <v>2</v>
      </c>
      <c r="T109" s="32">
        <v>7</v>
      </c>
    </row>
    <row r="110" spans="1:20">
      <c r="A110" s="25" t="s">
        <v>237</v>
      </c>
      <c r="B110" s="54"/>
      <c r="C110" s="25" t="s">
        <v>257</v>
      </c>
      <c r="D110" s="25" t="s">
        <v>239</v>
      </c>
      <c r="E110" s="25" t="s">
        <v>179</v>
      </c>
      <c r="F110" s="25"/>
      <c r="G110" s="26">
        <v>2796467.5818046797</v>
      </c>
      <c r="H110" s="27"/>
      <c r="I110" s="28"/>
      <c r="J110" s="27"/>
      <c r="K110" s="25">
        <f t="shared" si="6"/>
        <v>0</v>
      </c>
      <c r="L110" s="25">
        <f t="shared" si="7"/>
        <v>0</v>
      </c>
      <c r="M110" s="29">
        <v>91</v>
      </c>
      <c r="N110" s="76" t="str">
        <f t="shared" si="5"/>
        <v>OTRO</v>
      </c>
      <c r="O110" s="32">
        <v>406</v>
      </c>
      <c r="P110" s="32"/>
      <c r="Q110" s="29"/>
      <c r="R110" s="29"/>
      <c r="S110" s="59"/>
      <c r="T110" s="32"/>
    </row>
    <row r="111" spans="1:20">
      <c r="A111" s="36" t="s">
        <v>237</v>
      </c>
      <c r="B111" s="71">
        <v>87067517</v>
      </c>
      <c r="C111" s="36" t="s">
        <v>258</v>
      </c>
      <c r="D111" s="36" t="s">
        <v>248</v>
      </c>
      <c r="E111" s="36" t="s">
        <v>205</v>
      </c>
      <c r="F111" s="36" t="s">
        <v>249</v>
      </c>
      <c r="G111" s="37">
        <v>2796467.5818046797</v>
      </c>
      <c r="H111" s="38">
        <v>39479</v>
      </c>
      <c r="I111" s="39"/>
      <c r="J111" s="38">
        <v>30759</v>
      </c>
      <c r="K111" s="36">
        <f t="shared" si="6"/>
        <v>-84.216666666666669</v>
      </c>
      <c r="L111" s="36">
        <f t="shared" si="7"/>
        <v>-108.08611111111111</v>
      </c>
      <c r="M111" s="40" t="s">
        <v>34</v>
      </c>
      <c r="N111" s="41" t="str">
        <f t="shared" si="5"/>
        <v>TERMINO INDEFINIDO NUEVO</v>
      </c>
      <c r="O111" s="42">
        <v>409</v>
      </c>
      <c r="P111" s="42">
        <v>4</v>
      </c>
      <c r="Q111" s="35" t="s">
        <v>30</v>
      </c>
      <c r="R111" s="35">
        <v>2</v>
      </c>
      <c r="S111" s="94">
        <v>2</v>
      </c>
      <c r="T111" s="42">
        <v>7</v>
      </c>
    </row>
    <row r="112" spans="1:20">
      <c r="A112" s="36" t="s">
        <v>237</v>
      </c>
      <c r="B112" s="71">
        <v>12746064</v>
      </c>
      <c r="C112" s="111" t="s">
        <v>259</v>
      </c>
      <c r="D112" s="36" t="s">
        <v>239</v>
      </c>
      <c r="E112" s="36" t="s">
        <v>179</v>
      </c>
      <c r="F112" s="36"/>
      <c r="G112" s="37">
        <v>2796467.5818046797</v>
      </c>
      <c r="H112" s="38">
        <v>40940</v>
      </c>
      <c r="I112" s="39"/>
      <c r="J112" s="38">
        <v>29087</v>
      </c>
      <c r="K112" s="36">
        <f t="shared" si="6"/>
        <v>-79.638888888888886</v>
      </c>
      <c r="L112" s="36">
        <f t="shared" si="7"/>
        <v>-112.08611111111111</v>
      </c>
      <c r="M112" s="40" t="s">
        <v>34</v>
      </c>
      <c r="N112" s="41" t="str">
        <f t="shared" si="5"/>
        <v>TERMINO INDEFINIDO NUEVO</v>
      </c>
      <c r="O112" s="42">
        <v>406</v>
      </c>
      <c r="P112" s="42">
        <v>4</v>
      </c>
      <c r="Q112" s="35" t="s">
        <v>30</v>
      </c>
      <c r="R112" s="35">
        <v>2</v>
      </c>
      <c r="S112" s="94">
        <v>2</v>
      </c>
      <c r="T112" s="42">
        <v>7</v>
      </c>
    </row>
    <row r="113" spans="1:20">
      <c r="A113" s="36" t="s">
        <v>237</v>
      </c>
      <c r="B113" s="71">
        <v>87060738</v>
      </c>
      <c r="C113" s="36" t="s">
        <v>260</v>
      </c>
      <c r="D113" s="36" t="s">
        <v>248</v>
      </c>
      <c r="E113" s="36" t="s">
        <v>179</v>
      </c>
      <c r="F113" s="36"/>
      <c r="G113" s="37">
        <v>2796467.5818046797</v>
      </c>
      <c r="H113" s="38">
        <v>41352</v>
      </c>
      <c r="I113" s="39"/>
      <c r="J113" s="38">
        <v>30157</v>
      </c>
      <c r="K113" s="36">
        <f t="shared" si="6"/>
        <v>-82.569444444444443</v>
      </c>
      <c r="L113" s="36">
        <f t="shared" si="7"/>
        <v>-113.21944444444445</v>
      </c>
      <c r="M113" s="40" t="s">
        <v>34</v>
      </c>
      <c r="N113" s="41" t="str">
        <f t="shared" si="5"/>
        <v>TERMINO INDEFINIDO NUEVO</v>
      </c>
      <c r="O113" s="42">
        <v>406</v>
      </c>
      <c r="P113" s="42">
        <v>4</v>
      </c>
      <c r="Q113" s="35" t="s">
        <v>30</v>
      </c>
      <c r="R113" s="35">
        <v>1</v>
      </c>
      <c r="S113" s="94">
        <v>3</v>
      </c>
      <c r="T113" s="42">
        <v>7</v>
      </c>
    </row>
    <row r="114" spans="1:20">
      <c r="A114" s="62" t="s">
        <v>237</v>
      </c>
      <c r="B114" s="61">
        <v>12752395</v>
      </c>
      <c r="C114" s="62" t="s">
        <v>261</v>
      </c>
      <c r="D114" s="62" t="s">
        <v>239</v>
      </c>
      <c r="E114" s="62" t="s">
        <v>179</v>
      </c>
      <c r="F114" s="62"/>
      <c r="G114" s="63">
        <v>2796467.5818046797</v>
      </c>
      <c r="H114" s="64">
        <v>43132</v>
      </c>
      <c r="I114" s="65"/>
      <c r="J114" s="64">
        <v>30048</v>
      </c>
      <c r="K114" s="62">
        <f t="shared" si="6"/>
        <v>-82.269444444444446</v>
      </c>
      <c r="L114" s="62">
        <f t="shared" si="7"/>
        <v>-118.08611111111111</v>
      </c>
      <c r="M114" s="66" t="s">
        <v>34</v>
      </c>
      <c r="N114" s="67" t="str">
        <f t="shared" si="5"/>
        <v>TERMINO INDEFINIDO NUEVO</v>
      </c>
      <c r="O114" s="68">
        <v>406</v>
      </c>
      <c r="P114" s="68">
        <v>4</v>
      </c>
      <c r="Q114" s="69" t="s">
        <v>30</v>
      </c>
      <c r="R114" s="69">
        <v>2</v>
      </c>
      <c r="S114" s="70">
        <v>3</v>
      </c>
      <c r="T114" s="68">
        <v>7</v>
      </c>
    </row>
    <row r="115" spans="1:20" ht="21.6">
      <c r="A115" s="44" t="s">
        <v>237</v>
      </c>
      <c r="B115" s="112" t="s">
        <v>262</v>
      </c>
      <c r="C115" s="112" t="s">
        <v>263</v>
      </c>
      <c r="D115" s="44" t="s">
        <v>248</v>
      </c>
      <c r="E115" s="44" t="s">
        <v>179</v>
      </c>
      <c r="F115" s="44"/>
      <c r="G115" s="46">
        <v>2796467.5818046797</v>
      </c>
      <c r="H115" s="47">
        <v>45334</v>
      </c>
      <c r="I115" s="48"/>
      <c r="J115" s="47">
        <v>24649</v>
      </c>
      <c r="K115" s="44">
        <f t="shared" si="6"/>
        <v>-67.488888888888894</v>
      </c>
      <c r="L115" s="44">
        <f t="shared" si="7"/>
        <v>-124.11666666666666</v>
      </c>
      <c r="M115" s="49" t="s">
        <v>34</v>
      </c>
      <c r="N115" s="106" t="str">
        <f t="shared" si="5"/>
        <v>TERMINO INDEFINIDO NUEVO</v>
      </c>
      <c r="O115" s="53">
        <v>406</v>
      </c>
      <c r="P115" s="53">
        <v>3</v>
      </c>
      <c r="Q115" s="51" t="s">
        <v>30</v>
      </c>
      <c r="R115" s="51">
        <v>2</v>
      </c>
      <c r="S115" s="97">
        <v>3</v>
      </c>
      <c r="T115" s="53">
        <v>7</v>
      </c>
    </row>
    <row r="116" spans="1:20">
      <c r="A116" s="25" t="s">
        <v>264</v>
      </c>
      <c r="B116" s="25" t="s">
        <v>265</v>
      </c>
      <c r="C116" s="25" t="s">
        <v>266</v>
      </c>
      <c r="D116" s="25" t="s">
        <v>267</v>
      </c>
      <c r="E116" s="62" t="s">
        <v>182</v>
      </c>
      <c r="F116" s="25" t="s">
        <v>268</v>
      </c>
      <c r="G116" s="26">
        <v>3231587.1980465795</v>
      </c>
      <c r="H116" s="80">
        <v>33028</v>
      </c>
      <c r="I116" s="28"/>
      <c r="J116" s="27">
        <v>24142</v>
      </c>
      <c r="K116" s="25">
        <f t="shared" si="6"/>
        <v>-66.094444444444449</v>
      </c>
      <c r="L116" s="25">
        <f t="shared" si="7"/>
        <v>-90.427777777777777</v>
      </c>
      <c r="M116" s="29">
        <v>2</v>
      </c>
      <c r="N116" s="57" t="str">
        <f t="shared" si="5"/>
        <v>TERMINO INDEFINIDO</v>
      </c>
      <c r="O116" s="58">
        <v>70704</v>
      </c>
      <c r="P116" s="29">
        <v>3</v>
      </c>
      <c r="Q116" s="29" t="s">
        <v>30</v>
      </c>
      <c r="R116" s="29">
        <v>2</v>
      </c>
      <c r="S116" s="31">
        <v>3</v>
      </c>
      <c r="T116" s="32">
        <v>5</v>
      </c>
    </row>
    <row r="117" spans="1:20">
      <c r="A117" s="62" t="s">
        <v>158</v>
      </c>
      <c r="B117" s="74">
        <v>1086499761</v>
      </c>
      <c r="C117" s="69" t="s">
        <v>269</v>
      </c>
      <c r="D117" s="62" t="s">
        <v>270</v>
      </c>
      <c r="E117" s="62" t="s">
        <v>182</v>
      </c>
      <c r="F117" s="62"/>
      <c r="G117" s="63">
        <v>2527665.2085527098</v>
      </c>
      <c r="H117" s="64">
        <v>43143</v>
      </c>
      <c r="I117" s="65"/>
      <c r="J117" s="64">
        <v>34626</v>
      </c>
      <c r="K117" s="62">
        <f t="shared" si="6"/>
        <v>-94.802777777777777</v>
      </c>
      <c r="L117" s="62">
        <f t="shared" si="7"/>
        <v>-118.11666666666666</v>
      </c>
      <c r="M117" s="66" t="s">
        <v>34</v>
      </c>
      <c r="N117" s="67" t="str">
        <f t="shared" si="5"/>
        <v>TERMINO INDEFINIDO NUEVO</v>
      </c>
      <c r="O117" s="68">
        <v>405</v>
      </c>
      <c r="P117" s="68">
        <v>4</v>
      </c>
      <c r="Q117" s="69" t="s">
        <v>35</v>
      </c>
      <c r="R117" s="69">
        <v>1</v>
      </c>
      <c r="S117" s="70">
        <v>4</v>
      </c>
      <c r="T117" s="68">
        <v>7</v>
      </c>
    </row>
    <row r="118" spans="1:20">
      <c r="A118" s="24" t="s">
        <v>158</v>
      </c>
      <c r="B118" s="54"/>
      <c r="C118" s="25" t="s">
        <v>271</v>
      </c>
      <c r="D118" s="25" t="s">
        <v>160</v>
      </c>
      <c r="E118" s="25" t="s">
        <v>177</v>
      </c>
      <c r="F118" s="25"/>
      <c r="G118" s="26">
        <v>2527665.9111595382</v>
      </c>
      <c r="H118" s="80"/>
      <c r="I118" s="28"/>
      <c r="J118" s="27"/>
      <c r="K118" s="25">
        <f>(DAYS360(J118,$K$1))/360</f>
        <v>0</v>
      </c>
      <c r="L118" s="25">
        <f>(DAYS360(H118,$K$1))/360</f>
        <v>0</v>
      </c>
      <c r="M118" s="73">
        <v>91</v>
      </c>
      <c r="N118" s="30" t="str">
        <f t="shared" si="5"/>
        <v>OTRO</v>
      </c>
      <c r="O118" s="29">
        <v>407</v>
      </c>
      <c r="P118" s="29"/>
      <c r="Q118" s="29"/>
      <c r="R118" s="29"/>
      <c r="S118" s="31"/>
      <c r="T118" s="32"/>
    </row>
    <row r="119" spans="1:20">
      <c r="A119" s="25" t="s">
        <v>158</v>
      </c>
      <c r="B119" s="54"/>
      <c r="C119" s="113" t="s">
        <v>204</v>
      </c>
      <c r="D119" s="25" t="s">
        <v>270</v>
      </c>
      <c r="E119" s="25" t="s">
        <v>179</v>
      </c>
      <c r="F119" s="25"/>
      <c r="G119" s="26">
        <v>2527665.2085527098</v>
      </c>
      <c r="H119" s="27"/>
      <c r="I119" s="28"/>
      <c r="J119" s="27"/>
      <c r="K119" s="25">
        <f t="shared" si="6"/>
        <v>0</v>
      </c>
      <c r="L119" s="25">
        <f t="shared" si="7"/>
        <v>0</v>
      </c>
      <c r="M119" s="73">
        <v>91</v>
      </c>
      <c r="N119" s="76" t="str">
        <f t="shared" si="5"/>
        <v>OTRO</v>
      </c>
      <c r="O119" s="32">
        <v>406</v>
      </c>
      <c r="P119" s="32"/>
      <c r="Q119" s="29"/>
      <c r="R119" s="29"/>
      <c r="S119" s="59"/>
      <c r="T119" s="32"/>
    </row>
    <row r="120" spans="1:20">
      <c r="A120" s="25" t="s">
        <v>158</v>
      </c>
      <c r="B120" s="54">
        <v>12746929</v>
      </c>
      <c r="C120" s="25" t="s">
        <v>272</v>
      </c>
      <c r="D120" s="25" t="s">
        <v>270</v>
      </c>
      <c r="E120" s="25" t="s">
        <v>179</v>
      </c>
      <c r="F120" s="25"/>
      <c r="G120" s="26">
        <v>2527665.2085527098</v>
      </c>
      <c r="H120" s="27">
        <v>45555</v>
      </c>
      <c r="I120" s="28">
        <v>46387</v>
      </c>
      <c r="J120" s="27">
        <v>28908</v>
      </c>
      <c r="K120" s="25">
        <f>(DAYS360(J120,$K$1))/360</f>
        <v>-79.144444444444446</v>
      </c>
      <c r="L120" s="25">
        <f>(DAYS360(H120,$K$1))/360</f>
        <v>-124.72222222222223</v>
      </c>
      <c r="M120" s="29">
        <v>1</v>
      </c>
      <c r="N120" s="30" t="str">
        <f t="shared" si="5"/>
        <v>TERMINO FIJO</v>
      </c>
      <c r="O120" s="29">
        <v>406</v>
      </c>
      <c r="P120" s="29">
        <v>4</v>
      </c>
      <c r="Q120" s="29" t="s">
        <v>30</v>
      </c>
      <c r="R120" s="29">
        <v>1</v>
      </c>
      <c r="S120" s="31">
        <v>2</v>
      </c>
      <c r="T120" s="32">
        <v>4</v>
      </c>
    </row>
    <row r="121" spans="1:20">
      <c r="A121" s="25" t="s">
        <v>158</v>
      </c>
      <c r="B121" s="54">
        <v>1004189806</v>
      </c>
      <c r="C121" s="25" t="s">
        <v>273</v>
      </c>
      <c r="D121" s="25" t="s">
        <v>160</v>
      </c>
      <c r="E121" s="25" t="s">
        <v>179</v>
      </c>
      <c r="F121" s="25" t="s">
        <v>255</v>
      </c>
      <c r="G121" s="26">
        <v>2527664.7599999998</v>
      </c>
      <c r="H121" s="27">
        <v>45950</v>
      </c>
      <c r="I121" s="28">
        <v>46387</v>
      </c>
      <c r="J121" s="27">
        <v>36502</v>
      </c>
      <c r="K121" s="25">
        <f t="shared" ref="K121:K127" si="8">(DAYS360(J121,$K$1))/360</f>
        <v>-99.938888888888883</v>
      </c>
      <c r="L121" s="25">
        <f t="shared" ref="L121:L127" si="9">(DAYS360(H121,$K$1))/360</f>
        <v>-125.80555555555556</v>
      </c>
      <c r="M121" s="73">
        <v>1</v>
      </c>
      <c r="N121" s="76" t="str">
        <f t="shared" si="5"/>
        <v>TERMINO FIJO</v>
      </c>
      <c r="O121" s="32">
        <v>406</v>
      </c>
      <c r="P121" s="32">
        <v>4</v>
      </c>
      <c r="Q121" s="29" t="s">
        <v>35</v>
      </c>
      <c r="R121" s="29">
        <v>1</v>
      </c>
      <c r="S121" s="59">
        <v>5</v>
      </c>
      <c r="T121" s="32">
        <v>6</v>
      </c>
    </row>
    <row r="122" spans="1:20">
      <c r="A122" s="114" t="s">
        <v>56</v>
      </c>
      <c r="B122" s="71">
        <v>12749047</v>
      </c>
      <c r="C122" s="36" t="s">
        <v>274</v>
      </c>
      <c r="D122" s="36" t="s">
        <v>275</v>
      </c>
      <c r="E122" s="36" t="s">
        <v>179</v>
      </c>
      <c r="F122" s="36" t="s">
        <v>276</v>
      </c>
      <c r="G122" s="37">
        <v>2527664.7599999998</v>
      </c>
      <c r="H122" s="38">
        <v>38337</v>
      </c>
      <c r="I122" s="39"/>
      <c r="J122" s="38">
        <v>29060</v>
      </c>
      <c r="K122" s="36">
        <f>(DAYS360(J122,$K$1))/360</f>
        <v>-79.566666666666663</v>
      </c>
      <c r="L122" s="36">
        <f>(DAYS360(H122,$K$1))/360</f>
        <v>-104.96111111111111</v>
      </c>
      <c r="M122" s="40" t="s">
        <v>34</v>
      </c>
      <c r="N122" s="41" t="str">
        <f t="shared" si="5"/>
        <v>TERMINO INDEFINIDO NUEVO</v>
      </c>
      <c r="O122" s="42">
        <v>406</v>
      </c>
      <c r="P122" s="42">
        <v>4</v>
      </c>
      <c r="Q122" s="35" t="s">
        <v>30</v>
      </c>
      <c r="R122" s="35">
        <v>1</v>
      </c>
      <c r="S122" s="94">
        <v>5</v>
      </c>
      <c r="T122" s="42">
        <v>6</v>
      </c>
    </row>
    <row r="123" spans="1:20">
      <c r="A123" s="24" t="s">
        <v>277</v>
      </c>
      <c r="B123" s="54">
        <v>1233188977</v>
      </c>
      <c r="C123" s="25" t="s">
        <v>278</v>
      </c>
      <c r="D123" s="115" t="s">
        <v>279</v>
      </c>
      <c r="E123" s="25" t="s">
        <v>170</v>
      </c>
      <c r="F123" s="115"/>
      <c r="G123" s="116">
        <v>2800873.59</v>
      </c>
      <c r="H123" s="27">
        <v>46240</v>
      </c>
      <c r="I123" s="28">
        <v>46295</v>
      </c>
      <c r="J123" s="27">
        <v>35529</v>
      </c>
      <c r="K123" s="25">
        <f t="shared" si="8"/>
        <v>-97.275000000000006</v>
      </c>
      <c r="L123" s="25">
        <f t="shared" si="9"/>
        <v>-126.6</v>
      </c>
      <c r="M123" s="73">
        <v>1</v>
      </c>
      <c r="N123" s="30" t="str">
        <f t="shared" si="5"/>
        <v>TERMINO FIJO</v>
      </c>
      <c r="O123" s="29">
        <v>403</v>
      </c>
      <c r="P123" s="29">
        <v>4</v>
      </c>
      <c r="Q123" s="29" t="s">
        <v>30</v>
      </c>
      <c r="R123" s="29">
        <v>1</v>
      </c>
      <c r="S123" s="59">
        <v>5</v>
      </c>
      <c r="T123" s="32">
        <v>4</v>
      </c>
    </row>
    <row r="124" spans="1:20">
      <c r="A124" s="117" t="s">
        <v>277</v>
      </c>
      <c r="B124" s="30">
        <v>59825319</v>
      </c>
      <c r="C124" s="29" t="s">
        <v>280</v>
      </c>
      <c r="D124" s="25" t="s">
        <v>281</v>
      </c>
      <c r="E124" s="25" t="s">
        <v>179</v>
      </c>
      <c r="F124" s="25"/>
      <c r="G124" s="26">
        <v>2800872.7546122903</v>
      </c>
      <c r="H124" s="27">
        <v>45338</v>
      </c>
      <c r="I124" s="28">
        <v>46387</v>
      </c>
      <c r="J124" s="27">
        <v>26922</v>
      </c>
      <c r="K124" s="25">
        <f t="shared" si="8"/>
        <v>-73.708333333333329</v>
      </c>
      <c r="L124" s="25">
        <f t="shared" si="9"/>
        <v>-124.12777777777778</v>
      </c>
      <c r="M124" s="73">
        <v>1</v>
      </c>
      <c r="N124" s="30" t="str">
        <f t="shared" si="5"/>
        <v>TERMINO FIJO</v>
      </c>
      <c r="O124" s="29">
        <v>406</v>
      </c>
      <c r="P124" s="29">
        <v>4</v>
      </c>
      <c r="Q124" s="29" t="s">
        <v>35</v>
      </c>
      <c r="R124" s="29">
        <v>1</v>
      </c>
      <c r="S124" s="59">
        <v>2</v>
      </c>
      <c r="T124" s="32">
        <v>7</v>
      </c>
    </row>
    <row r="125" spans="1:20">
      <c r="A125" s="118" t="s">
        <v>56</v>
      </c>
      <c r="B125" s="61"/>
      <c r="C125" s="62" t="s">
        <v>133</v>
      </c>
      <c r="D125" s="62" t="s">
        <v>275</v>
      </c>
      <c r="E125" s="62" t="s">
        <v>205</v>
      </c>
      <c r="F125" s="62"/>
      <c r="G125" s="63">
        <v>3231586.9520465797</v>
      </c>
      <c r="H125" s="64"/>
      <c r="I125" s="65"/>
      <c r="J125" s="64"/>
      <c r="K125" s="62">
        <f t="shared" si="8"/>
        <v>0</v>
      </c>
      <c r="L125" s="119">
        <f t="shared" si="9"/>
        <v>0</v>
      </c>
      <c r="M125" s="66">
        <v>91</v>
      </c>
      <c r="N125" s="74" t="str">
        <f t="shared" si="5"/>
        <v>OTRO</v>
      </c>
      <c r="O125" s="69">
        <v>409</v>
      </c>
      <c r="P125" s="68"/>
      <c r="Q125" s="69"/>
      <c r="R125" s="69"/>
      <c r="S125" s="120"/>
      <c r="T125" s="68"/>
    </row>
    <row r="126" spans="1:20">
      <c r="A126" s="114" t="s">
        <v>56</v>
      </c>
      <c r="B126" s="71">
        <v>98385311</v>
      </c>
      <c r="C126" s="36" t="s">
        <v>282</v>
      </c>
      <c r="D126" s="36" t="s">
        <v>58</v>
      </c>
      <c r="E126" s="36" t="s">
        <v>179</v>
      </c>
      <c r="F126" s="36"/>
      <c r="G126" s="37">
        <v>3231586.9520465797</v>
      </c>
      <c r="H126" s="38">
        <v>38964</v>
      </c>
      <c r="I126" s="39"/>
      <c r="J126" s="38">
        <v>26523</v>
      </c>
      <c r="K126" s="36">
        <f t="shared" si="8"/>
        <v>-72.61666666666666</v>
      </c>
      <c r="L126" s="77">
        <f t="shared" si="9"/>
        <v>-106.67777777777778</v>
      </c>
      <c r="M126" s="40" t="s">
        <v>34</v>
      </c>
      <c r="N126" s="34" t="str">
        <f t="shared" si="5"/>
        <v>TERMINO INDEFINIDO NUEVO</v>
      </c>
      <c r="O126" s="35">
        <v>409</v>
      </c>
      <c r="P126" s="42">
        <v>5</v>
      </c>
      <c r="Q126" s="35" t="s">
        <v>30</v>
      </c>
      <c r="R126" s="35">
        <v>2</v>
      </c>
      <c r="S126" s="94">
        <v>2</v>
      </c>
      <c r="T126" s="42">
        <v>5</v>
      </c>
    </row>
    <row r="127" spans="1:20">
      <c r="A127" s="25" t="s">
        <v>56</v>
      </c>
      <c r="B127" s="54" t="s">
        <v>283</v>
      </c>
      <c r="C127" s="25" t="s">
        <v>284</v>
      </c>
      <c r="D127" s="25" t="s">
        <v>275</v>
      </c>
      <c r="E127" s="25" t="s">
        <v>205</v>
      </c>
      <c r="F127" s="25" t="s">
        <v>285</v>
      </c>
      <c r="G127" s="26">
        <v>3231586.9520465797</v>
      </c>
      <c r="H127" s="27">
        <v>37088</v>
      </c>
      <c r="I127" s="28"/>
      <c r="J127" s="27">
        <v>24523</v>
      </c>
      <c r="K127" s="25">
        <f t="shared" si="8"/>
        <v>-67.138888888888886</v>
      </c>
      <c r="L127" s="25">
        <f t="shared" si="9"/>
        <v>-101.54444444444445</v>
      </c>
      <c r="M127" s="29">
        <v>2</v>
      </c>
      <c r="N127" s="30" t="str">
        <f t="shared" si="5"/>
        <v>TERMINO INDEFINIDO</v>
      </c>
      <c r="O127" s="29">
        <v>409</v>
      </c>
      <c r="P127" s="29">
        <v>5</v>
      </c>
      <c r="Q127" s="29" t="s">
        <v>30</v>
      </c>
      <c r="R127" s="29">
        <v>2</v>
      </c>
      <c r="S127" s="59">
        <v>3</v>
      </c>
      <c r="T127" s="32">
        <v>6</v>
      </c>
    </row>
    <row r="128" spans="1:20">
      <c r="A128" s="36" t="s">
        <v>286</v>
      </c>
      <c r="B128" s="71">
        <v>1085274170</v>
      </c>
      <c r="C128" s="36" t="s">
        <v>287</v>
      </c>
      <c r="D128" s="36" t="s">
        <v>288</v>
      </c>
      <c r="E128" s="25" t="s">
        <v>205</v>
      </c>
      <c r="F128" s="36" t="s">
        <v>289</v>
      </c>
      <c r="G128" s="37">
        <v>2786824.7655346259</v>
      </c>
      <c r="H128" s="86">
        <v>40362</v>
      </c>
      <c r="I128" s="39"/>
      <c r="J128" s="38">
        <v>32674</v>
      </c>
      <c r="K128" s="25">
        <f>(DAYS360(J128,$K$1))/360</f>
        <v>-89.458333333333329</v>
      </c>
      <c r="L128" s="25">
        <f>(DAYS360(H128,$K$1))/360</f>
        <v>-110.50833333333334</v>
      </c>
      <c r="M128" s="40" t="s">
        <v>34</v>
      </c>
      <c r="N128" s="41" t="str">
        <f>IF(M128=3,"SALARIO INTEGRAL",IF(M128=2,"TERMINO INDEFINIDO",IF(M128=1,"TERMINO FIJO",IF(M128="2_N","TERMINO INDEFINIDO NUEVO","OTRO"))))</f>
        <v>TERMINO INDEFINIDO NUEVO</v>
      </c>
      <c r="O128" s="42">
        <v>406</v>
      </c>
      <c r="P128" s="42">
        <v>3</v>
      </c>
      <c r="Q128" s="35" t="s">
        <v>30</v>
      </c>
      <c r="R128" s="35">
        <v>1</v>
      </c>
      <c r="S128" s="121">
        <v>3</v>
      </c>
      <c r="T128" s="42">
        <v>5</v>
      </c>
    </row>
    <row r="129" spans="1:20">
      <c r="A129" s="25" t="s">
        <v>86</v>
      </c>
      <c r="B129" s="25" t="s">
        <v>290</v>
      </c>
      <c r="C129" s="25" t="s">
        <v>291</v>
      </c>
      <c r="D129" s="25" t="s">
        <v>292</v>
      </c>
      <c r="E129" s="25" t="s">
        <v>293</v>
      </c>
      <c r="F129" s="25"/>
      <c r="G129" s="26">
        <v>30903295</v>
      </c>
      <c r="H129" s="27">
        <v>32981</v>
      </c>
      <c r="I129" s="28"/>
      <c r="J129" s="27">
        <v>24241</v>
      </c>
      <c r="K129" s="25">
        <f>(DAYS360(J129,$K$1))/360</f>
        <v>-66.37222222222222</v>
      </c>
      <c r="L129" s="25">
        <f>(DAYS360(H129,$K$1))/360</f>
        <v>-90.3</v>
      </c>
      <c r="M129" s="73">
        <v>3</v>
      </c>
      <c r="N129" s="30" t="str">
        <f t="shared" si="5"/>
        <v>SALARIO INTEGRAL</v>
      </c>
      <c r="O129" s="29">
        <v>702</v>
      </c>
      <c r="P129" s="29">
        <v>3</v>
      </c>
      <c r="Q129" s="29" t="s">
        <v>30</v>
      </c>
      <c r="R129" s="29">
        <v>1</v>
      </c>
      <c r="S129" s="31">
        <v>7</v>
      </c>
      <c r="T129" s="32">
        <v>1</v>
      </c>
    </row>
    <row r="130" spans="1:20">
      <c r="A130" s="24" t="s">
        <v>62</v>
      </c>
      <c r="B130" s="54" t="s">
        <v>294</v>
      </c>
      <c r="C130" s="25" t="s">
        <v>295</v>
      </c>
      <c r="D130" s="25" t="s">
        <v>64</v>
      </c>
      <c r="E130" s="25" t="s">
        <v>296</v>
      </c>
      <c r="F130" s="25"/>
      <c r="G130" s="26">
        <v>4170489.66</v>
      </c>
      <c r="H130" s="27">
        <v>35582</v>
      </c>
      <c r="I130" s="28"/>
      <c r="J130" s="27">
        <v>26919</v>
      </c>
      <c r="K130" s="25">
        <f>(DAYS360(J130,$K$1))/360</f>
        <v>-73.7</v>
      </c>
      <c r="L130" s="25">
        <f>(DAYS360(H130,$K$1))/360</f>
        <v>-97.419444444444451</v>
      </c>
      <c r="M130" s="29">
        <v>2</v>
      </c>
      <c r="N130" s="30" t="str">
        <f t="shared" si="5"/>
        <v>TERMINO INDEFINIDO</v>
      </c>
      <c r="O130" s="29">
        <v>702</v>
      </c>
      <c r="P130" s="29">
        <v>4</v>
      </c>
      <c r="Q130" s="29" t="s">
        <v>35</v>
      </c>
      <c r="R130" s="29">
        <v>1</v>
      </c>
      <c r="S130" s="31">
        <v>4</v>
      </c>
      <c r="T130" s="32">
        <v>6</v>
      </c>
    </row>
    <row r="131" spans="1:20">
      <c r="A131" s="25" t="s">
        <v>162</v>
      </c>
      <c r="B131" s="54" t="s">
        <v>297</v>
      </c>
      <c r="C131" s="25" t="s">
        <v>298</v>
      </c>
      <c r="D131" s="25" t="s">
        <v>165</v>
      </c>
      <c r="E131" s="25" t="s">
        <v>299</v>
      </c>
      <c r="F131" s="25"/>
      <c r="G131" s="26">
        <v>25016832</v>
      </c>
      <c r="H131" s="85">
        <v>34213</v>
      </c>
      <c r="I131" s="82"/>
      <c r="J131" s="27">
        <v>23360</v>
      </c>
      <c r="K131" s="25">
        <f>(DAYS360(J131,$K$1))/360</f>
        <v>-63.958333333333336</v>
      </c>
      <c r="L131" s="25">
        <f>(DAYS360(H131,$K$1))/360</f>
        <v>-93.669444444444451</v>
      </c>
      <c r="M131" s="29">
        <v>3</v>
      </c>
      <c r="N131" s="57" t="str">
        <f t="shared" si="5"/>
        <v>SALARIO INTEGRAL</v>
      </c>
      <c r="O131" s="58">
        <v>719</v>
      </c>
      <c r="P131" s="32">
        <v>3</v>
      </c>
      <c r="Q131" s="29" t="s">
        <v>30</v>
      </c>
      <c r="R131" s="29">
        <v>2</v>
      </c>
      <c r="S131" s="122">
        <v>5</v>
      </c>
      <c r="T131" s="32">
        <v>3</v>
      </c>
    </row>
    <row r="132" spans="1:20">
      <c r="A132" s="36" t="s">
        <v>67</v>
      </c>
      <c r="B132" s="71">
        <v>13068655</v>
      </c>
      <c r="C132" s="36" t="s">
        <v>300</v>
      </c>
      <c r="D132" s="36" t="s">
        <v>69</v>
      </c>
      <c r="E132" s="36" t="s">
        <v>301</v>
      </c>
      <c r="F132" s="36"/>
      <c r="G132" s="37">
        <v>9446508.7131569237</v>
      </c>
      <c r="H132" s="86">
        <v>40316</v>
      </c>
      <c r="I132" s="39"/>
      <c r="J132" s="38">
        <v>29535</v>
      </c>
      <c r="K132" s="36">
        <f>(DAYS360(J132,$K$1))/360</f>
        <v>-80.861111111111114</v>
      </c>
      <c r="L132" s="36">
        <f>(DAYS360(H132,$K$1))/360</f>
        <v>-110.38333333333334</v>
      </c>
      <c r="M132" s="40" t="s">
        <v>34</v>
      </c>
      <c r="N132" s="34" t="str">
        <f t="shared" si="5"/>
        <v>TERMINO INDEFINIDO NUEVO</v>
      </c>
      <c r="O132" s="35">
        <v>703</v>
      </c>
      <c r="P132" s="35">
        <v>3</v>
      </c>
      <c r="Q132" s="35" t="s">
        <v>30</v>
      </c>
      <c r="R132" s="35">
        <v>1</v>
      </c>
      <c r="S132" s="123">
        <v>5</v>
      </c>
      <c r="T132" s="42">
        <v>4</v>
      </c>
    </row>
    <row r="133" spans="1:20">
      <c r="A133" s="36" t="s">
        <v>67</v>
      </c>
      <c r="B133" s="71">
        <v>98394357</v>
      </c>
      <c r="C133" s="36" t="s">
        <v>302</v>
      </c>
      <c r="D133" s="36" t="s">
        <v>69</v>
      </c>
      <c r="E133" s="36" t="s">
        <v>303</v>
      </c>
      <c r="F133" s="36"/>
      <c r="G133" s="37">
        <v>9446508.7131569237</v>
      </c>
      <c r="H133" s="86">
        <v>41295</v>
      </c>
      <c r="I133" s="39"/>
      <c r="J133" s="38">
        <v>27765</v>
      </c>
      <c r="K133" s="25">
        <f t="shared" ref="K133:K196" si="10">(DAYS360(J133,$K$1))/360</f>
        <v>-76.016666666666666</v>
      </c>
      <c r="L133" s="25">
        <f t="shared" ref="L133:L196" si="11">(DAYS360(H133,$K$1))/360</f>
        <v>-113.05833333333334</v>
      </c>
      <c r="M133" s="40" t="s">
        <v>34</v>
      </c>
      <c r="N133" s="34" t="str">
        <f t="shared" si="5"/>
        <v>TERMINO INDEFINIDO NUEVO</v>
      </c>
      <c r="O133" s="35">
        <v>703</v>
      </c>
      <c r="P133" s="35">
        <v>3</v>
      </c>
      <c r="Q133" s="35" t="s">
        <v>30</v>
      </c>
      <c r="R133" s="35">
        <v>1</v>
      </c>
      <c r="S133" s="123">
        <v>5</v>
      </c>
      <c r="T133" s="42">
        <v>4</v>
      </c>
    </row>
    <row r="134" spans="1:20">
      <c r="A134" s="25" t="s">
        <v>45</v>
      </c>
      <c r="B134" s="25" t="s">
        <v>304</v>
      </c>
      <c r="C134" s="25" t="s">
        <v>305</v>
      </c>
      <c r="D134" s="25" t="s">
        <v>75</v>
      </c>
      <c r="E134" s="25" t="s">
        <v>303</v>
      </c>
      <c r="F134" s="25"/>
      <c r="G134" s="26">
        <v>6967259.7986902911</v>
      </c>
      <c r="H134" s="80">
        <v>32548</v>
      </c>
      <c r="I134" s="28"/>
      <c r="J134" s="27">
        <v>24932</v>
      </c>
      <c r="K134" s="25">
        <f>(DAYS360(J134,$K$1))/360</f>
        <v>-68.261111111111106</v>
      </c>
      <c r="L134" s="25">
        <f>(DAYS360(H134,$K$1))/360</f>
        <v>-89.108333333333334</v>
      </c>
      <c r="M134" s="29">
        <v>2</v>
      </c>
      <c r="N134" s="76" t="str">
        <f t="shared" si="5"/>
        <v>TERMINO INDEFINIDO</v>
      </c>
      <c r="O134" s="32">
        <v>604</v>
      </c>
      <c r="P134" s="32">
        <v>5</v>
      </c>
      <c r="Q134" s="29" t="s">
        <v>30</v>
      </c>
      <c r="R134" s="29">
        <v>1</v>
      </c>
      <c r="S134" s="59">
        <v>5</v>
      </c>
      <c r="T134" s="32">
        <v>4</v>
      </c>
    </row>
    <row r="135" spans="1:20">
      <c r="A135" s="25" t="s">
        <v>45</v>
      </c>
      <c r="B135" s="54">
        <v>12748657</v>
      </c>
      <c r="C135" s="25" t="s">
        <v>306</v>
      </c>
      <c r="D135" s="25" t="s">
        <v>75</v>
      </c>
      <c r="E135" s="25" t="s">
        <v>307</v>
      </c>
      <c r="F135" s="25" t="s">
        <v>308</v>
      </c>
      <c r="G135" s="26">
        <v>6967259.9699999997</v>
      </c>
      <c r="H135" s="80">
        <v>36601</v>
      </c>
      <c r="I135" s="28"/>
      <c r="J135" s="27">
        <v>29203</v>
      </c>
      <c r="K135" s="25">
        <f>(DAYS360(J135,$K$1))/360</f>
        <v>-79.955555555555549</v>
      </c>
      <c r="L135" s="25">
        <f>(DAYS360(H135,$K$1))/360</f>
        <v>-100.21111111111111</v>
      </c>
      <c r="M135" s="29">
        <v>2</v>
      </c>
      <c r="N135" s="57" t="str">
        <f t="shared" si="5"/>
        <v>TERMINO INDEFINIDO</v>
      </c>
      <c r="O135" s="58">
        <v>70805</v>
      </c>
      <c r="P135" s="32">
        <v>3</v>
      </c>
      <c r="Q135" s="29" t="s">
        <v>30</v>
      </c>
      <c r="R135" s="29">
        <v>2</v>
      </c>
      <c r="S135" s="122">
        <v>5</v>
      </c>
      <c r="T135" s="32">
        <v>6</v>
      </c>
    </row>
    <row r="136" spans="1:20">
      <c r="A136" s="36" t="s">
        <v>45</v>
      </c>
      <c r="B136" s="71">
        <v>80096507</v>
      </c>
      <c r="C136" s="36" t="s">
        <v>309</v>
      </c>
      <c r="D136" s="36" t="s">
        <v>75</v>
      </c>
      <c r="E136" s="36" t="s">
        <v>310</v>
      </c>
      <c r="F136" s="36" t="s">
        <v>311</v>
      </c>
      <c r="G136" s="37">
        <v>6967259.7986902911</v>
      </c>
      <c r="H136" s="86">
        <v>40437</v>
      </c>
      <c r="I136" s="39"/>
      <c r="J136" s="38">
        <v>30195</v>
      </c>
      <c r="K136" s="36">
        <f t="shared" si="10"/>
        <v>-82.669444444444451</v>
      </c>
      <c r="L136" s="36">
        <f t="shared" si="11"/>
        <v>-110.71111111111111</v>
      </c>
      <c r="M136" s="40" t="s">
        <v>34</v>
      </c>
      <c r="N136" s="124" t="str">
        <f t="shared" si="5"/>
        <v>TERMINO INDEFINIDO NUEVO</v>
      </c>
      <c r="O136" s="125">
        <v>705</v>
      </c>
      <c r="P136" s="42">
        <v>3</v>
      </c>
      <c r="Q136" s="35" t="s">
        <v>30</v>
      </c>
      <c r="R136" s="35">
        <v>2</v>
      </c>
      <c r="S136" s="121">
        <v>5</v>
      </c>
      <c r="T136" s="42">
        <v>6</v>
      </c>
    </row>
    <row r="137" spans="1:20">
      <c r="A137" s="25" t="s">
        <v>45</v>
      </c>
      <c r="B137" s="54">
        <v>12992440</v>
      </c>
      <c r="C137" s="25" t="s">
        <v>312</v>
      </c>
      <c r="D137" s="25" t="s">
        <v>48</v>
      </c>
      <c r="E137" s="25" t="s">
        <v>313</v>
      </c>
      <c r="F137" s="25" t="s">
        <v>314</v>
      </c>
      <c r="G137" s="26">
        <v>6967259.7986902911</v>
      </c>
      <c r="H137" s="80">
        <v>33022</v>
      </c>
      <c r="I137" s="28"/>
      <c r="J137" s="27">
        <v>24690</v>
      </c>
      <c r="K137" s="25">
        <f t="shared" si="10"/>
        <v>-67.599999999999994</v>
      </c>
      <c r="L137" s="25">
        <f t="shared" si="11"/>
        <v>-90.413888888888891</v>
      </c>
      <c r="M137" s="73">
        <v>2</v>
      </c>
      <c r="N137" s="57" t="str">
        <f t="shared" si="5"/>
        <v>TERMINO INDEFINIDO</v>
      </c>
      <c r="O137" s="58">
        <v>719</v>
      </c>
      <c r="P137" s="32">
        <v>3</v>
      </c>
      <c r="Q137" s="29" t="s">
        <v>30</v>
      </c>
      <c r="R137" s="29">
        <v>2</v>
      </c>
      <c r="S137" s="126">
        <v>5</v>
      </c>
      <c r="T137" s="32">
        <v>6</v>
      </c>
    </row>
    <row r="138" spans="1:20">
      <c r="A138" s="36" t="s">
        <v>45</v>
      </c>
      <c r="B138" s="71">
        <v>5210114</v>
      </c>
      <c r="C138" s="36" t="s">
        <v>315</v>
      </c>
      <c r="D138" s="36" t="s">
        <v>48</v>
      </c>
      <c r="E138" s="36" t="s">
        <v>307</v>
      </c>
      <c r="F138" s="36"/>
      <c r="G138" s="37">
        <v>6967259.7986902911</v>
      </c>
      <c r="H138" s="86">
        <v>39937</v>
      </c>
      <c r="I138" s="39"/>
      <c r="J138" s="38">
        <v>24849</v>
      </c>
      <c r="K138" s="25">
        <f t="shared" si="10"/>
        <v>-68.033333333333331</v>
      </c>
      <c r="L138" s="25">
        <f t="shared" si="11"/>
        <v>-109.34444444444445</v>
      </c>
      <c r="M138" s="40" t="s">
        <v>34</v>
      </c>
      <c r="N138" s="34" t="str">
        <f t="shared" si="5"/>
        <v>TERMINO INDEFINIDO NUEVO</v>
      </c>
      <c r="O138" s="35">
        <v>70805</v>
      </c>
      <c r="P138" s="35">
        <v>3</v>
      </c>
      <c r="Q138" s="35" t="s">
        <v>30</v>
      </c>
      <c r="R138" s="35">
        <v>2</v>
      </c>
      <c r="S138" s="123">
        <v>5</v>
      </c>
      <c r="T138" s="42">
        <v>4</v>
      </c>
    </row>
    <row r="139" spans="1:20">
      <c r="A139" s="25" t="s">
        <v>185</v>
      </c>
      <c r="B139" s="54">
        <v>98391170</v>
      </c>
      <c r="C139" s="25" t="s">
        <v>316</v>
      </c>
      <c r="D139" s="25" t="s">
        <v>191</v>
      </c>
      <c r="E139" s="25" t="s">
        <v>301</v>
      </c>
      <c r="F139" s="25" t="s">
        <v>308</v>
      </c>
      <c r="G139" s="26">
        <v>6063366.101405181</v>
      </c>
      <c r="H139" s="85">
        <v>35643</v>
      </c>
      <c r="I139" s="82"/>
      <c r="J139" s="27">
        <v>27292</v>
      </c>
      <c r="K139" s="25">
        <f t="shared" si="10"/>
        <v>-74.722222222222229</v>
      </c>
      <c r="L139" s="25">
        <f t="shared" si="11"/>
        <v>-97.586111111111109</v>
      </c>
      <c r="M139" s="29">
        <v>2</v>
      </c>
      <c r="N139" s="57" t="str">
        <f t="shared" ref="N139:N202" si="12">IF(M139=3,"SALARIO INTEGRAL",IF(M139=2,"TERMINO INDEFINIDO",IF(M139=1,"TERMINO FIJO",IF(M139="2_N","TERMINO INDEFINIDO NUEVO","OTRO"))))</f>
        <v>TERMINO INDEFINIDO</v>
      </c>
      <c r="O139" s="58">
        <v>704</v>
      </c>
      <c r="P139" s="32">
        <v>3</v>
      </c>
      <c r="Q139" s="29" t="s">
        <v>30</v>
      </c>
      <c r="R139" s="29">
        <v>1</v>
      </c>
      <c r="S139" s="122">
        <v>5</v>
      </c>
      <c r="T139" s="32">
        <v>4</v>
      </c>
    </row>
    <row r="140" spans="1:20">
      <c r="A140" s="25" t="s">
        <v>185</v>
      </c>
      <c r="B140" s="25" t="s">
        <v>317</v>
      </c>
      <c r="C140" s="25" t="s">
        <v>318</v>
      </c>
      <c r="D140" s="25" t="s">
        <v>191</v>
      </c>
      <c r="E140" s="25" t="s">
        <v>299</v>
      </c>
      <c r="F140" s="25"/>
      <c r="G140" s="26">
        <v>6967259.7986902911</v>
      </c>
      <c r="H140" s="80">
        <v>36601</v>
      </c>
      <c r="I140" s="28"/>
      <c r="J140" s="27">
        <v>26740</v>
      </c>
      <c r="K140" s="25">
        <f>(DAYS360(J140,$K$1))/360</f>
        <v>-73.213888888888889</v>
      </c>
      <c r="L140" s="25">
        <f>(DAYS360(H140,$K$1))/360</f>
        <v>-100.21111111111111</v>
      </c>
      <c r="M140" s="29">
        <v>2</v>
      </c>
      <c r="N140" s="57" t="str">
        <f t="shared" si="12"/>
        <v>TERMINO INDEFINIDO</v>
      </c>
      <c r="O140" s="58">
        <v>703</v>
      </c>
      <c r="P140" s="32">
        <v>3</v>
      </c>
      <c r="Q140" s="29" t="s">
        <v>30</v>
      </c>
      <c r="R140" s="29">
        <v>1</v>
      </c>
      <c r="S140" s="122">
        <v>5</v>
      </c>
      <c r="T140" s="32">
        <v>4</v>
      </c>
    </row>
    <row r="141" spans="1:20">
      <c r="A141" s="25" t="s">
        <v>185</v>
      </c>
      <c r="B141" s="25" t="s">
        <v>319</v>
      </c>
      <c r="C141" s="25" t="s">
        <v>320</v>
      </c>
      <c r="D141" s="25" t="s">
        <v>188</v>
      </c>
      <c r="E141" s="25" t="s">
        <v>303</v>
      </c>
      <c r="F141" s="25"/>
      <c r="G141" s="26">
        <v>6063366.101405181</v>
      </c>
      <c r="H141" s="81">
        <v>36601</v>
      </c>
      <c r="I141" s="82"/>
      <c r="J141" s="27">
        <v>27088</v>
      </c>
      <c r="K141" s="25">
        <f t="shared" si="10"/>
        <v>-74.166666666666671</v>
      </c>
      <c r="L141" s="25">
        <f t="shared" si="11"/>
        <v>-100.21111111111111</v>
      </c>
      <c r="M141" s="29">
        <v>2</v>
      </c>
      <c r="N141" s="30" t="str">
        <f t="shared" si="12"/>
        <v>TERMINO INDEFINIDO</v>
      </c>
      <c r="O141" s="29">
        <v>703</v>
      </c>
      <c r="P141" s="29">
        <v>3</v>
      </c>
      <c r="Q141" s="29" t="s">
        <v>30</v>
      </c>
      <c r="R141" s="29">
        <v>2</v>
      </c>
      <c r="S141" s="126">
        <v>5</v>
      </c>
      <c r="T141" s="32">
        <v>4</v>
      </c>
    </row>
    <row r="142" spans="1:20">
      <c r="A142" s="25" t="s">
        <v>185</v>
      </c>
      <c r="B142" s="54">
        <v>5203772</v>
      </c>
      <c r="C142" s="25" t="s">
        <v>321</v>
      </c>
      <c r="D142" s="25" t="s">
        <v>188</v>
      </c>
      <c r="E142" s="25" t="s">
        <v>301</v>
      </c>
      <c r="F142" s="25" t="s">
        <v>322</v>
      </c>
      <c r="G142" s="26">
        <v>6063366.101405181</v>
      </c>
      <c r="H142" s="27">
        <v>37090</v>
      </c>
      <c r="I142" s="28"/>
      <c r="J142" s="27">
        <v>28435</v>
      </c>
      <c r="K142" s="25">
        <f t="shared" si="10"/>
        <v>-77.849999999999994</v>
      </c>
      <c r="L142" s="25">
        <f t="shared" si="11"/>
        <v>-101.55</v>
      </c>
      <c r="M142" s="73">
        <v>2</v>
      </c>
      <c r="N142" s="30" t="str">
        <f t="shared" si="12"/>
        <v>TERMINO INDEFINIDO</v>
      </c>
      <c r="O142" s="29">
        <v>704</v>
      </c>
      <c r="P142" s="29">
        <v>3</v>
      </c>
      <c r="Q142" s="29" t="s">
        <v>30</v>
      </c>
      <c r="R142" s="29">
        <v>2</v>
      </c>
      <c r="S142" s="126">
        <v>5</v>
      </c>
      <c r="T142" s="32">
        <v>4</v>
      </c>
    </row>
    <row r="143" spans="1:20">
      <c r="A143" s="36" t="s">
        <v>185</v>
      </c>
      <c r="B143" s="71">
        <v>98380781</v>
      </c>
      <c r="C143" s="36" t="s">
        <v>323</v>
      </c>
      <c r="D143" s="36" t="s">
        <v>191</v>
      </c>
      <c r="E143" s="36" t="s">
        <v>301</v>
      </c>
      <c r="F143" s="36"/>
      <c r="G143" s="37">
        <v>6063366.101405181</v>
      </c>
      <c r="H143" s="38">
        <v>40340</v>
      </c>
      <c r="I143" s="39"/>
      <c r="J143" s="38">
        <v>26323</v>
      </c>
      <c r="K143" s="25">
        <f t="shared" si="10"/>
        <v>-72.069444444444443</v>
      </c>
      <c r="L143" s="25">
        <f t="shared" si="11"/>
        <v>-110.44722222222222</v>
      </c>
      <c r="M143" s="40" t="s">
        <v>34</v>
      </c>
      <c r="N143" s="34" t="str">
        <f t="shared" si="12"/>
        <v>TERMINO INDEFINIDO NUEVO</v>
      </c>
      <c r="O143" s="35">
        <v>704</v>
      </c>
      <c r="P143" s="35">
        <v>3</v>
      </c>
      <c r="Q143" s="35" t="s">
        <v>30</v>
      </c>
      <c r="R143" s="35">
        <v>2</v>
      </c>
      <c r="S143" s="123">
        <v>5</v>
      </c>
      <c r="T143" s="42">
        <v>4</v>
      </c>
    </row>
    <row r="144" spans="1:20">
      <c r="A144" s="25" t="s">
        <v>36</v>
      </c>
      <c r="B144" s="54"/>
      <c r="C144" s="25" t="s">
        <v>204</v>
      </c>
      <c r="D144" s="25" t="s">
        <v>38</v>
      </c>
      <c r="E144" s="25" t="s">
        <v>324</v>
      </c>
      <c r="F144" s="25"/>
      <c r="G144" s="26">
        <v>3707009.3133</v>
      </c>
      <c r="H144" s="27"/>
      <c r="I144" s="28"/>
      <c r="J144" s="27"/>
      <c r="K144" s="25">
        <f t="shared" si="10"/>
        <v>0</v>
      </c>
      <c r="L144" s="25">
        <f t="shared" si="11"/>
        <v>0</v>
      </c>
      <c r="M144" s="29">
        <v>91</v>
      </c>
      <c r="N144" s="57" t="str">
        <f t="shared" si="12"/>
        <v>OTRO</v>
      </c>
      <c r="O144" s="58">
        <v>704</v>
      </c>
      <c r="P144" s="32"/>
      <c r="Q144" s="29"/>
      <c r="R144" s="29"/>
      <c r="S144" s="122"/>
      <c r="T144" s="32"/>
    </row>
    <row r="145" spans="1:20">
      <c r="A145" s="36" t="s">
        <v>36</v>
      </c>
      <c r="B145" s="71">
        <v>12988538</v>
      </c>
      <c r="C145" s="36" t="s">
        <v>325</v>
      </c>
      <c r="D145" s="36" t="s">
        <v>38</v>
      </c>
      <c r="E145" s="36" t="s">
        <v>301</v>
      </c>
      <c r="F145" s="36"/>
      <c r="G145" s="37">
        <v>3707009.3133</v>
      </c>
      <c r="H145" s="86">
        <v>40651</v>
      </c>
      <c r="I145" s="39"/>
      <c r="J145" s="38">
        <v>24128</v>
      </c>
      <c r="K145" s="25">
        <f t="shared" si="10"/>
        <v>-66.058333333333337</v>
      </c>
      <c r="L145" s="25">
        <f t="shared" si="11"/>
        <v>-111.3</v>
      </c>
      <c r="M145" s="40" t="s">
        <v>34</v>
      </c>
      <c r="N145" s="34" t="str">
        <f t="shared" si="12"/>
        <v>TERMINO INDEFINIDO NUEVO</v>
      </c>
      <c r="O145" s="35">
        <v>704</v>
      </c>
      <c r="P145" s="35">
        <v>3</v>
      </c>
      <c r="Q145" s="35" t="s">
        <v>30</v>
      </c>
      <c r="R145" s="35">
        <v>1</v>
      </c>
      <c r="S145" s="123">
        <v>5</v>
      </c>
      <c r="T145" s="42">
        <v>6</v>
      </c>
    </row>
    <row r="146" spans="1:20">
      <c r="A146" s="36" t="s">
        <v>36</v>
      </c>
      <c r="B146" s="71">
        <v>1088651983</v>
      </c>
      <c r="C146" s="36" t="s">
        <v>326</v>
      </c>
      <c r="D146" s="36" t="s">
        <v>61</v>
      </c>
      <c r="E146" s="36" t="s">
        <v>299</v>
      </c>
      <c r="F146" s="36"/>
      <c r="G146" s="37">
        <v>3707009.9877888546</v>
      </c>
      <c r="H146" s="86">
        <v>42543</v>
      </c>
      <c r="I146" s="39"/>
      <c r="J146" s="38">
        <v>34334</v>
      </c>
      <c r="K146" s="36">
        <f t="shared" si="10"/>
        <v>-94</v>
      </c>
      <c r="L146" s="36">
        <f t="shared" si="11"/>
        <v>-116.47777777777777</v>
      </c>
      <c r="M146" s="40" t="s">
        <v>34</v>
      </c>
      <c r="N146" s="41" t="str">
        <f t="shared" si="12"/>
        <v>TERMINO INDEFINIDO NUEVO</v>
      </c>
      <c r="O146" s="42">
        <v>703</v>
      </c>
      <c r="P146" s="42">
        <v>3</v>
      </c>
      <c r="Q146" s="35" t="s">
        <v>30</v>
      </c>
      <c r="R146" s="35">
        <v>1</v>
      </c>
      <c r="S146" s="121">
        <v>5</v>
      </c>
      <c r="T146" s="42">
        <v>6</v>
      </c>
    </row>
    <row r="147" spans="1:20">
      <c r="A147" s="36" t="s">
        <v>36</v>
      </c>
      <c r="B147" s="71">
        <v>59832638</v>
      </c>
      <c r="C147" s="36" t="s">
        <v>327</v>
      </c>
      <c r="D147" s="36" t="s">
        <v>328</v>
      </c>
      <c r="E147" s="36" t="s">
        <v>301</v>
      </c>
      <c r="F147" s="36" t="s">
        <v>329</v>
      </c>
      <c r="G147" s="37">
        <v>3707009.5134529797</v>
      </c>
      <c r="H147" s="38">
        <v>39665</v>
      </c>
      <c r="I147" s="39"/>
      <c r="J147" s="38">
        <v>27635</v>
      </c>
      <c r="K147" s="36">
        <f>(DAYS360(J147,$K$1))/360</f>
        <v>-75.663888888888891</v>
      </c>
      <c r="L147" s="36">
        <f>(DAYS360(H147,$K$1))/360</f>
        <v>-108.59722222222223</v>
      </c>
      <c r="M147" s="40" t="s">
        <v>34</v>
      </c>
      <c r="N147" s="34" t="str">
        <f t="shared" si="12"/>
        <v>TERMINO INDEFINIDO NUEVO</v>
      </c>
      <c r="O147" s="35">
        <v>703</v>
      </c>
      <c r="P147" s="42">
        <v>4</v>
      </c>
      <c r="Q147" s="35" t="s">
        <v>35</v>
      </c>
      <c r="R147" s="35">
        <v>1</v>
      </c>
      <c r="S147" s="107">
        <v>5</v>
      </c>
      <c r="T147" s="42">
        <v>6</v>
      </c>
    </row>
    <row r="148" spans="1:20">
      <c r="A148" s="62" t="s">
        <v>124</v>
      </c>
      <c r="B148" s="61">
        <v>27220685</v>
      </c>
      <c r="C148" s="62" t="s">
        <v>330</v>
      </c>
      <c r="D148" s="62" t="s">
        <v>132</v>
      </c>
      <c r="E148" s="62" t="s">
        <v>307</v>
      </c>
      <c r="F148" s="62"/>
      <c r="G148" s="63">
        <v>2802739.64234913</v>
      </c>
      <c r="H148" s="127">
        <v>43118</v>
      </c>
      <c r="I148" s="65"/>
      <c r="J148" s="64">
        <v>27147</v>
      </c>
      <c r="K148" s="62">
        <f t="shared" si="10"/>
        <v>-74.327777777777783</v>
      </c>
      <c r="L148" s="62">
        <f t="shared" si="11"/>
        <v>-118.05</v>
      </c>
      <c r="M148" s="66" t="s">
        <v>34</v>
      </c>
      <c r="N148" s="67" t="str">
        <f t="shared" si="12"/>
        <v>TERMINO INDEFINIDO NUEVO</v>
      </c>
      <c r="O148" s="68">
        <v>409</v>
      </c>
      <c r="P148" s="68">
        <v>4</v>
      </c>
      <c r="Q148" s="69" t="s">
        <v>35</v>
      </c>
      <c r="R148" s="128">
        <v>1</v>
      </c>
      <c r="S148" s="129">
        <v>4</v>
      </c>
      <c r="T148" s="68">
        <v>6</v>
      </c>
    </row>
    <row r="149" spans="1:20">
      <c r="A149" s="130" t="s">
        <v>56</v>
      </c>
      <c r="B149" s="11"/>
      <c r="C149" s="25" t="s">
        <v>133</v>
      </c>
      <c r="D149" s="25" t="s">
        <v>58</v>
      </c>
      <c r="E149" s="25" t="s">
        <v>307</v>
      </c>
      <c r="F149" s="25"/>
      <c r="G149" s="26">
        <v>3231586.9520465797</v>
      </c>
      <c r="H149" s="27"/>
      <c r="I149" s="28"/>
      <c r="J149" s="27"/>
      <c r="K149" s="25">
        <f t="shared" si="10"/>
        <v>0</v>
      </c>
      <c r="L149" s="25">
        <f t="shared" si="11"/>
        <v>0</v>
      </c>
      <c r="M149" s="29">
        <v>91</v>
      </c>
      <c r="N149" s="30" t="str">
        <f t="shared" si="12"/>
        <v>OTRO</v>
      </c>
      <c r="O149" s="29">
        <v>70805</v>
      </c>
      <c r="P149" s="29"/>
      <c r="Q149" s="29"/>
      <c r="R149" s="29"/>
      <c r="S149" s="122"/>
      <c r="T149" s="32"/>
    </row>
    <row r="150" spans="1:20">
      <c r="A150" s="36" t="s">
        <v>331</v>
      </c>
      <c r="B150" s="131">
        <v>12747629</v>
      </c>
      <c r="C150" s="36" t="s">
        <v>332</v>
      </c>
      <c r="D150" s="36" t="s">
        <v>333</v>
      </c>
      <c r="E150" s="36" t="s">
        <v>303</v>
      </c>
      <c r="F150" s="36"/>
      <c r="G150" s="37">
        <v>3120218.4554910217</v>
      </c>
      <c r="H150" s="38">
        <v>38548</v>
      </c>
      <c r="I150" s="39"/>
      <c r="J150" s="38">
        <v>28434</v>
      </c>
      <c r="K150" s="25">
        <f t="shared" si="10"/>
        <v>-77.847222222222229</v>
      </c>
      <c r="L150" s="25">
        <f t="shared" si="11"/>
        <v>-105.54166666666667</v>
      </c>
      <c r="M150" s="40" t="s">
        <v>34</v>
      </c>
      <c r="N150" s="34" t="str">
        <f t="shared" si="12"/>
        <v>TERMINO INDEFINIDO NUEVO</v>
      </c>
      <c r="O150" s="35">
        <v>70805</v>
      </c>
      <c r="P150" s="35">
        <v>3</v>
      </c>
      <c r="Q150" s="35" t="s">
        <v>30</v>
      </c>
      <c r="R150" s="35">
        <v>2</v>
      </c>
      <c r="S150" s="121">
        <v>3</v>
      </c>
      <c r="T150" s="42">
        <v>5</v>
      </c>
    </row>
    <row r="151" spans="1:20">
      <c r="A151" s="36" t="s">
        <v>331</v>
      </c>
      <c r="B151" s="71">
        <v>87472925</v>
      </c>
      <c r="C151" s="36" t="s">
        <v>334</v>
      </c>
      <c r="D151" s="36" t="s">
        <v>333</v>
      </c>
      <c r="E151" s="36" t="s">
        <v>303</v>
      </c>
      <c r="F151" s="36"/>
      <c r="G151" s="37">
        <v>3120218.5272019012</v>
      </c>
      <c r="H151" s="86">
        <v>41904</v>
      </c>
      <c r="I151" s="39"/>
      <c r="J151" s="38">
        <v>28539</v>
      </c>
      <c r="K151" s="25">
        <f t="shared" si="10"/>
        <v>-78.13333333333334</v>
      </c>
      <c r="L151" s="25">
        <f t="shared" si="11"/>
        <v>-114.72777777777777</v>
      </c>
      <c r="M151" s="40" t="s">
        <v>34</v>
      </c>
      <c r="N151" s="124" t="str">
        <f t="shared" si="12"/>
        <v>TERMINO INDEFINIDO NUEVO</v>
      </c>
      <c r="O151" s="125">
        <v>70805</v>
      </c>
      <c r="P151" s="42">
        <v>3</v>
      </c>
      <c r="Q151" s="35" t="s">
        <v>30</v>
      </c>
      <c r="R151" s="35">
        <v>2</v>
      </c>
      <c r="S151" s="121">
        <v>3</v>
      </c>
      <c r="T151" s="42">
        <v>5</v>
      </c>
    </row>
    <row r="152" spans="1:20">
      <c r="A152" s="44" t="s">
        <v>331</v>
      </c>
      <c r="B152" s="45">
        <v>87473710</v>
      </c>
      <c r="C152" s="44" t="s">
        <v>335</v>
      </c>
      <c r="D152" s="44" t="s">
        <v>333</v>
      </c>
      <c r="E152" s="36" t="s">
        <v>303</v>
      </c>
      <c r="F152" s="36"/>
      <c r="G152" s="46">
        <v>3120218.49</v>
      </c>
      <c r="H152" s="132">
        <v>44348</v>
      </c>
      <c r="I152" s="48"/>
      <c r="J152" s="47">
        <v>30235</v>
      </c>
      <c r="K152" s="44">
        <f>(DAYS360(J152,$K$1))/360</f>
        <v>-82.780555555555551</v>
      </c>
      <c r="L152" s="44">
        <f>(DAYS360(H152,$K$1))/360</f>
        <v>-121.41944444444445</v>
      </c>
      <c r="M152" s="49" t="s">
        <v>34</v>
      </c>
      <c r="N152" s="50" t="str">
        <f t="shared" si="12"/>
        <v>TERMINO INDEFINIDO NUEVO</v>
      </c>
      <c r="O152" s="51">
        <v>703</v>
      </c>
      <c r="P152" s="53">
        <v>3</v>
      </c>
      <c r="Q152" s="51" t="s">
        <v>30</v>
      </c>
      <c r="R152" s="51">
        <v>2</v>
      </c>
      <c r="S152" s="133">
        <v>3</v>
      </c>
      <c r="T152" s="53">
        <v>5</v>
      </c>
    </row>
    <row r="153" spans="1:20">
      <c r="A153" s="25" t="s">
        <v>331</v>
      </c>
      <c r="B153" s="54">
        <v>13040766</v>
      </c>
      <c r="C153" s="25" t="s">
        <v>336</v>
      </c>
      <c r="D153" s="25" t="s">
        <v>333</v>
      </c>
      <c r="E153" s="25" t="s">
        <v>303</v>
      </c>
      <c r="F153" s="25"/>
      <c r="G153" s="26">
        <v>3120218.5989127806</v>
      </c>
      <c r="H153" s="134">
        <v>45881</v>
      </c>
      <c r="I153" s="28">
        <v>46387</v>
      </c>
      <c r="J153" s="134">
        <v>30422</v>
      </c>
      <c r="K153" s="25">
        <f t="shared" si="10"/>
        <v>-83.294444444444451</v>
      </c>
      <c r="L153" s="25">
        <f t="shared" si="11"/>
        <v>-125.61666666666666</v>
      </c>
      <c r="M153" s="73">
        <v>1</v>
      </c>
      <c r="N153" s="57" t="str">
        <f t="shared" si="12"/>
        <v>TERMINO FIJO</v>
      </c>
      <c r="O153" s="58">
        <v>70805</v>
      </c>
      <c r="P153" s="32">
        <v>4</v>
      </c>
      <c r="Q153" s="29" t="s">
        <v>30</v>
      </c>
      <c r="R153" s="29">
        <v>2</v>
      </c>
      <c r="S153" s="122">
        <v>2</v>
      </c>
      <c r="T153" s="32">
        <v>5</v>
      </c>
    </row>
    <row r="154" spans="1:20">
      <c r="A154" s="25" t="s">
        <v>331</v>
      </c>
      <c r="B154" s="54" t="s">
        <v>337</v>
      </c>
      <c r="C154" s="25" t="s">
        <v>338</v>
      </c>
      <c r="D154" s="25" t="s">
        <v>333</v>
      </c>
      <c r="E154" s="25" t="s">
        <v>339</v>
      </c>
      <c r="F154" s="25" t="s">
        <v>44</v>
      </c>
      <c r="G154" s="26">
        <v>3120218.49</v>
      </c>
      <c r="H154" s="27">
        <v>37119</v>
      </c>
      <c r="I154" s="28"/>
      <c r="J154" s="27">
        <v>28035</v>
      </c>
      <c r="K154" s="25">
        <f t="shared" si="10"/>
        <v>-76.75555555555556</v>
      </c>
      <c r="L154" s="25">
        <f t="shared" si="11"/>
        <v>-101.62777777777778</v>
      </c>
      <c r="M154" s="29">
        <v>2</v>
      </c>
      <c r="N154" s="76" t="str">
        <f t="shared" si="12"/>
        <v>TERMINO INDEFINIDO</v>
      </c>
      <c r="O154" s="32">
        <v>70805</v>
      </c>
      <c r="P154" s="32">
        <v>4</v>
      </c>
      <c r="Q154" s="29" t="s">
        <v>30</v>
      </c>
      <c r="R154" s="29">
        <v>2</v>
      </c>
      <c r="S154" s="59">
        <v>3</v>
      </c>
      <c r="T154" s="32">
        <v>7</v>
      </c>
    </row>
    <row r="155" spans="1:20">
      <c r="A155" s="36" t="s">
        <v>331</v>
      </c>
      <c r="B155" s="71">
        <v>98397603</v>
      </c>
      <c r="C155" s="36" t="s">
        <v>340</v>
      </c>
      <c r="D155" s="36" t="s">
        <v>333</v>
      </c>
      <c r="E155" s="36" t="s">
        <v>307</v>
      </c>
      <c r="F155" s="36"/>
      <c r="G155" s="37">
        <v>3120218.6706236592</v>
      </c>
      <c r="H155" s="86">
        <v>40360</v>
      </c>
      <c r="I155" s="39"/>
      <c r="J155" s="38">
        <v>28275</v>
      </c>
      <c r="K155" s="25">
        <f t="shared" si="10"/>
        <v>-77.416666666666671</v>
      </c>
      <c r="L155" s="25">
        <f t="shared" si="11"/>
        <v>-110.50277777777778</v>
      </c>
      <c r="M155" s="40" t="s">
        <v>34</v>
      </c>
      <c r="N155" s="124" t="str">
        <f t="shared" si="12"/>
        <v>TERMINO INDEFINIDO NUEVO</v>
      </c>
      <c r="O155" s="125">
        <v>70805</v>
      </c>
      <c r="P155" s="42">
        <v>3</v>
      </c>
      <c r="Q155" s="35" t="s">
        <v>30</v>
      </c>
      <c r="R155" s="35">
        <v>2</v>
      </c>
      <c r="S155" s="121">
        <v>3</v>
      </c>
      <c r="T155" s="42">
        <v>5</v>
      </c>
    </row>
    <row r="156" spans="1:20">
      <c r="A156" s="25" t="s">
        <v>331</v>
      </c>
      <c r="B156" s="54" t="s">
        <v>341</v>
      </c>
      <c r="C156" s="25" t="s">
        <v>342</v>
      </c>
      <c r="D156" s="25" t="s">
        <v>333</v>
      </c>
      <c r="E156" s="25" t="s">
        <v>301</v>
      </c>
      <c r="F156" s="25"/>
      <c r="G156" s="26">
        <v>3120218.7064790991</v>
      </c>
      <c r="H156" s="80">
        <v>37137</v>
      </c>
      <c r="I156" s="28"/>
      <c r="J156" s="27">
        <v>27948</v>
      </c>
      <c r="K156" s="25">
        <f t="shared" si="10"/>
        <v>-76.519444444444446</v>
      </c>
      <c r="L156" s="25">
        <f t="shared" si="11"/>
        <v>-101.675</v>
      </c>
      <c r="M156" s="29">
        <v>2</v>
      </c>
      <c r="N156" s="57" t="str">
        <f t="shared" si="12"/>
        <v>TERMINO INDEFINIDO</v>
      </c>
      <c r="O156" s="58">
        <v>704</v>
      </c>
      <c r="P156" s="32">
        <v>3</v>
      </c>
      <c r="Q156" s="29" t="s">
        <v>30</v>
      </c>
      <c r="R156" s="29">
        <v>2</v>
      </c>
      <c r="S156" s="122">
        <v>3</v>
      </c>
      <c r="T156" s="32">
        <v>5</v>
      </c>
    </row>
    <row r="157" spans="1:20">
      <c r="A157" s="25" t="s">
        <v>331</v>
      </c>
      <c r="B157" s="54">
        <v>98398044</v>
      </c>
      <c r="C157" s="25" t="s">
        <v>343</v>
      </c>
      <c r="D157" s="25" t="s">
        <v>333</v>
      </c>
      <c r="E157" s="25" t="s">
        <v>307</v>
      </c>
      <c r="F157" s="25"/>
      <c r="G157" s="26">
        <v>3120218.7423345386</v>
      </c>
      <c r="H157" s="80">
        <v>46041</v>
      </c>
      <c r="I157" s="28">
        <v>46295</v>
      </c>
      <c r="J157" s="27">
        <v>28155</v>
      </c>
      <c r="K157" s="25">
        <f t="shared" si="10"/>
        <v>-77.083333333333329</v>
      </c>
      <c r="L157" s="25">
        <f t="shared" si="11"/>
        <v>-126.05277777777778</v>
      </c>
      <c r="M157" s="29">
        <v>1</v>
      </c>
      <c r="N157" s="57" t="str">
        <f t="shared" si="12"/>
        <v>TERMINO FIJO</v>
      </c>
      <c r="O157" s="58">
        <v>70805</v>
      </c>
      <c r="P157" s="32">
        <v>3</v>
      </c>
      <c r="Q157" s="29" t="s">
        <v>30</v>
      </c>
      <c r="R157" s="29">
        <v>2</v>
      </c>
      <c r="S157" s="122">
        <v>3</v>
      </c>
      <c r="T157" s="32">
        <v>5</v>
      </c>
    </row>
    <row r="158" spans="1:20">
      <c r="A158" s="25" t="s">
        <v>331</v>
      </c>
      <c r="B158" s="54">
        <v>1004193298</v>
      </c>
      <c r="C158" s="25" t="s">
        <v>344</v>
      </c>
      <c r="D158" s="25" t="s">
        <v>333</v>
      </c>
      <c r="E158" s="25" t="s">
        <v>345</v>
      </c>
      <c r="F158" s="25" t="s">
        <v>346</v>
      </c>
      <c r="G158" s="26">
        <v>3120218.778189979</v>
      </c>
      <c r="H158" s="80">
        <v>45842</v>
      </c>
      <c r="I158" s="28">
        <v>46295</v>
      </c>
      <c r="J158" s="27">
        <v>36734</v>
      </c>
      <c r="K158" s="25">
        <f t="shared" si="10"/>
        <v>-100.575</v>
      </c>
      <c r="L158" s="25">
        <f t="shared" si="11"/>
        <v>-125.51111111111111</v>
      </c>
      <c r="M158" s="29">
        <v>1</v>
      </c>
      <c r="N158" s="57" t="str">
        <f t="shared" si="12"/>
        <v>TERMINO FIJO</v>
      </c>
      <c r="O158" s="58">
        <v>70805</v>
      </c>
      <c r="P158" s="32">
        <v>3</v>
      </c>
      <c r="Q158" s="29" t="s">
        <v>30</v>
      </c>
      <c r="R158" s="29">
        <v>2</v>
      </c>
      <c r="S158" s="122">
        <v>3</v>
      </c>
      <c r="T158" s="32">
        <v>5</v>
      </c>
    </row>
    <row r="159" spans="1:20">
      <c r="A159" s="25" t="s">
        <v>331</v>
      </c>
      <c r="B159" s="54">
        <v>1085346551</v>
      </c>
      <c r="C159" s="25" t="s">
        <v>347</v>
      </c>
      <c r="D159" s="25" t="s">
        <v>333</v>
      </c>
      <c r="E159" s="25" t="s">
        <v>307</v>
      </c>
      <c r="F159" s="25" t="s">
        <v>348</v>
      </c>
      <c r="G159" s="26">
        <v>3120218.8140454181</v>
      </c>
      <c r="H159" s="80">
        <v>45756</v>
      </c>
      <c r="I159" s="28">
        <v>46387</v>
      </c>
      <c r="J159" s="27">
        <v>36389</v>
      </c>
      <c r="K159" s="25">
        <f t="shared" si="10"/>
        <v>-99.63055555555556</v>
      </c>
      <c r="L159" s="25">
        <f t="shared" si="11"/>
        <v>-125.27500000000001</v>
      </c>
      <c r="M159" s="73">
        <v>1</v>
      </c>
      <c r="N159" s="57" t="str">
        <f t="shared" si="12"/>
        <v>TERMINO FIJO</v>
      </c>
      <c r="O159" s="58">
        <v>70805</v>
      </c>
      <c r="P159" s="32">
        <v>3</v>
      </c>
      <c r="Q159" s="29" t="s">
        <v>30</v>
      </c>
      <c r="R159" s="29">
        <v>2</v>
      </c>
      <c r="S159" s="122">
        <v>3</v>
      </c>
      <c r="T159" s="32">
        <v>5</v>
      </c>
    </row>
    <row r="160" spans="1:20">
      <c r="A160" s="25" t="s">
        <v>331</v>
      </c>
      <c r="B160" s="54" t="s">
        <v>349</v>
      </c>
      <c r="C160" s="25" t="s">
        <v>350</v>
      </c>
      <c r="D160" s="25" t="s">
        <v>333</v>
      </c>
      <c r="E160" s="25" t="s">
        <v>307</v>
      </c>
      <c r="F160" s="25"/>
      <c r="G160" s="26">
        <v>3120218.849900858</v>
      </c>
      <c r="H160" s="80">
        <v>35431</v>
      </c>
      <c r="I160" s="28"/>
      <c r="J160" s="27">
        <v>24196</v>
      </c>
      <c r="K160" s="25">
        <f t="shared" si="10"/>
        <v>-66.25</v>
      </c>
      <c r="L160" s="25">
        <f t="shared" si="11"/>
        <v>-97.00277777777778</v>
      </c>
      <c r="M160" s="29">
        <v>2</v>
      </c>
      <c r="N160" s="57" t="str">
        <f t="shared" si="12"/>
        <v>TERMINO INDEFINIDO</v>
      </c>
      <c r="O160" s="58">
        <v>70805</v>
      </c>
      <c r="P160" s="32">
        <v>3</v>
      </c>
      <c r="Q160" s="29" t="s">
        <v>30</v>
      </c>
      <c r="R160" s="29">
        <v>2</v>
      </c>
      <c r="S160" s="122">
        <v>3</v>
      </c>
      <c r="T160" s="32">
        <v>5</v>
      </c>
    </row>
    <row r="161" spans="1:20">
      <c r="A161" s="62" t="s">
        <v>331</v>
      </c>
      <c r="B161" s="61">
        <v>1085267031</v>
      </c>
      <c r="C161" s="62" t="s">
        <v>351</v>
      </c>
      <c r="D161" s="62" t="s">
        <v>333</v>
      </c>
      <c r="E161" s="62" t="s">
        <v>307</v>
      </c>
      <c r="F161" s="62"/>
      <c r="G161" s="63">
        <v>3120218.8857562975</v>
      </c>
      <c r="H161" s="127">
        <v>43907</v>
      </c>
      <c r="I161" s="65"/>
      <c r="J161" s="64">
        <v>32367</v>
      </c>
      <c r="K161" s="62">
        <f t="shared" si="10"/>
        <v>-88.61666666666666</v>
      </c>
      <c r="L161" s="62">
        <f t="shared" si="11"/>
        <v>-120.21388888888889</v>
      </c>
      <c r="M161" s="66" t="s">
        <v>34</v>
      </c>
      <c r="N161" s="67" t="str">
        <f t="shared" si="12"/>
        <v>TERMINO INDEFINIDO NUEVO</v>
      </c>
      <c r="O161" s="68">
        <v>70805</v>
      </c>
      <c r="P161" s="68">
        <v>3</v>
      </c>
      <c r="Q161" s="69" t="s">
        <v>30</v>
      </c>
      <c r="R161" s="69">
        <v>2</v>
      </c>
      <c r="S161" s="129">
        <v>2</v>
      </c>
      <c r="T161" s="68">
        <v>5</v>
      </c>
    </row>
    <row r="162" spans="1:20">
      <c r="A162" s="36" t="s">
        <v>331</v>
      </c>
      <c r="B162" s="71">
        <v>12983018</v>
      </c>
      <c r="C162" s="36" t="s">
        <v>352</v>
      </c>
      <c r="D162" s="36" t="s">
        <v>353</v>
      </c>
      <c r="E162" s="36" t="s">
        <v>307</v>
      </c>
      <c r="F162" s="36"/>
      <c r="G162" s="37">
        <v>3120219.09759663</v>
      </c>
      <c r="H162" s="86">
        <v>38985</v>
      </c>
      <c r="I162" s="39"/>
      <c r="J162" s="38">
        <v>23280</v>
      </c>
      <c r="K162" s="25">
        <f t="shared" si="10"/>
        <v>-63.738888888888887</v>
      </c>
      <c r="L162" s="25">
        <f t="shared" si="11"/>
        <v>-106.73611111111111</v>
      </c>
      <c r="M162" s="40" t="s">
        <v>34</v>
      </c>
      <c r="N162" s="41" t="str">
        <f t="shared" si="12"/>
        <v>TERMINO INDEFINIDO NUEVO</v>
      </c>
      <c r="O162" s="42">
        <v>70805</v>
      </c>
      <c r="P162" s="42">
        <v>3</v>
      </c>
      <c r="Q162" s="35" t="s">
        <v>30</v>
      </c>
      <c r="R162" s="35">
        <v>2</v>
      </c>
      <c r="S162" s="121">
        <v>3</v>
      </c>
      <c r="T162" s="42">
        <v>5</v>
      </c>
    </row>
    <row r="163" spans="1:20">
      <c r="A163" s="36" t="s">
        <v>331</v>
      </c>
      <c r="B163" s="71">
        <v>5344673</v>
      </c>
      <c r="C163" s="36" t="s">
        <v>354</v>
      </c>
      <c r="D163" s="36" t="s">
        <v>333</v>
      </c>
      <c r="E163" s="36" t="s">
        <v>345</v>
      </c>
      <c r="F163" s="36"/>
      <c r="G163" s="37">
        <v>3120218.9216117375</v>
      </c>
      <c r="H163" s="86">
        <v>38384</v>
      </c>
      <c r="I163" s="39"/>
      <c r="J163" s="38">
        <v>25381</v>
      </c>
      <c r="K163" s="25">
        <f t="shared" si="10"/>
        <v>-69.49166666666666</v>
      </c>
      <c r="L163" s="25">
        <f t="shared" si="11"/>
        <v>-105.08611111111111</v>
      </c>
      <c r="M163" s="40" t="s">
        <v>34</v>
      </c>
      <c r="N163" s="41" t="str">
        <f t="shared" si="12"/>
        <v>TERMINO INDEFINIDO NUEVO</v>
      </c>
      <c r="O163" s="42">
        <v>704</v>
      </c>
      <c r="P163" s="42">
        <v>3</v>
      </c>
      <c r="Q163" s="35" t="s">
        <v>30</v>
      </c>
      <c r="R163" s="35">
        <v>2</v>
      </c>
      <c r="S163" s="121">
        <v>5</v>
      </c>
      <c r="T163" s="42">
        <v>5</v>
      </c>
    </row>
    <row r="164" spans="1:20">
      <c r="A164" s="108" t="s">
        <v>331</v>
      </c>
      <c r="B164" s="71">
        <v>87472313</v>
      </c>
      <c r="C164" s="36" t="s">
        <v>355</v>
      </c>
      <c r="D164" s="36" t="s">
        <v>333</v>
      </c>
      <c r="E164" s="36" t="s">
        <v>303</v>
      </c>
      <c r="F164" s="36"/>
      <c r="G164" s="37">
        <v>3120218.957467177</v>
      </c>
      <c r="H164" s="86">
        <v>41898</v>
      </c>
      <c r="I164" s="39"/>
      <c r="J164" s="38">
        <v>27232</v>
      </c>
      <c r="K164" s="25">
        <f t="shared" si="10"/>
        <v>-74.561111111111117</v>
      </c>
      <c r="L164" s="25">
        <f t="shared" si="11"/>
        <v>-114.71111111111111</v>
      </c>
      <c r="M164" s="40" t="s">
        <v>34</v>
      </c>
      <c r="N164" s="41" t="str">
        <f t="shared" si="12"/>
        <v>TERMINO INDEFINIDO NUEVO</v>
      </c>
      <c r="O164" s="42">
        <v>70805</v>
      </c>
      <c r="P164" s="42">
        <v>3</v>
      </c>
      <c r="Q164" s="35" t="s">
        <v>30</v>
      </c>
      <c r="R164" s="35">
        <v>2</v>
      </c>
      <c r="S164" s="121">
        <v>2</v>
      </c>
      <c r="T164" s="42">
        <v>5</v>
      </c>
    </row>
    <row r="165" spans="1:20">
      <c r="A165" s="25" t="s">
        <v>331</v>
      </c>
      <c r="B165" s="54"/>
      <c r="C165" s="25" t="s">
        <v>204</v>
      </c>
      <c r="D165" s="25" t="s">
        <v>333</v>
      </c>
      <c r="E165" s="25" t="s">
        <v>303</v>
      </c>
      <c r="F165" s="25"/>
      <c r="G165" s="26">
        <v>3120218.9933226174</v>
      </c>
      <c r="H165" s="80"/>
      <c r="I165" s="28"/>
      <c r="J165" s="27"/>
      <c r="K165" s="25">
        <f t="shared" si="10"/>
        <v>0</v>
      </c>
      <c r="L165" s="25">
        <f t="shared" si="11"/>
        <v>0</v>
      </c>
      <c r="M165" s="73">
        <v>91</v>
      </c>
      <c r="N165" s="76" t="str">
        <f t="shared" si="12"/>
        <v>OTRO</v>
      </c>
      <c r="O165" s="32">
        <v>70805</v>
      </c>
      <c r="P165" s="32"/>
      <c r="Q165" s="29"/>
      <c r="R165" s="29"/>
      <c r="S165" s="122"/>
      <c r="T165" s="32"/>
    </row>
    <row r="166" spans="1:20">
      <c r="A166" s="36" t="s">
        <v>331</v>
      </c>
      <c r="B166" s="71">
        <v>87473977</v>
      </c>
      <c r="C166" s="36" t="s">
        <v>356</v>
      </c>
      <c r="D166" s="36" t="s">
        <v>333</v>
      </c>
      <c r="E166" s="36" t="s">
        <v>307</v>
      </c>
      <c r="F166" s="36"/>
      <c r="G166" s="37">
        <v>3120219.0291780559</v>
      </c>
      <c r="H166" s="86">
        <v>39560</v>
      </c>
      <c r="I166" s="39"/>
      <c r="J166" s="38">
        <v>30310</v>
      </c>
      <c r="K166" s="25">
        <f t="shared" si="10"/>
        <v>-82.986111111111114</v>
      </c>
      <c r="L166" s="25">
        <f t="shared" si="11"/>
        <v>-108.31111111111112</v>
      </c>
      <c r="M166" s="40" t="s">
        <v>34</v>
      </c>
      <c r="N166" s="41" t="str">
        <f t="shared" si="12"/>
        <v>TERMINO INDEFINIDO NUEVO</v>
      </c>
      <c r="O166" s="42">
        <v>70805</v>
      </c>
      <c r="P166" s="42">
        <v>3</v>
      </c>
      <c r="Q166" s="35" t="s">
        <v>30</v>
      </c>
      <c r="R166" s="35">
        <v>2</v>
      </c>
      <c r="S166" s="121">
        <v>3</v>
      </c>
      <c r="T166" s="42">
        <v>5</v>
      </c>
    </row>
    <row r="167" spans="1:20">
      <c r="A167" s="36" t="s">
        <v>331</v>
      </c>
      <c r="B167" s="71">
        <v>98381843</v>
      </c>
      <c r="C167" s="36" t="s">
        <v>357</v>
      </c>
      <c r="D167" s="36" t="s">
        <v>333</v>
      </c>
      <c r="E167" s="36" t="s">
        <v>307</v>
      </c>
      <c r="F167" s="36"/>
      <c r="G167" s="37">
        <v>3120219.0650334954</v>
      </c>
      <c r="H167" s="86">
        <v>39254</v>
      </c>
      <c r="I167" s="39"/>
      <c r="J167" s="38">
        <v>26384</v>
      </c>
      <c r="K167" s="25">
        <f t="shared" si="10"/>
        <v>-72.238888888888894</v>
      </c>
      <c r="L167" s="25">
        <f t="shared" si="11"/>
        <v>-107.47499999999999</v>
      </c>
      <c r="M167" s="40" t="s">
        <v>34</v>
      </c>
      <c r="N167" s="41" t="str">
        <f t="shared" si="12"/>
        <v>TERMINO INDEFINIDO NUEVO</v>
      </c>
      <c r="O167" s="42">
        <v>70805</v>
      </c>
      <c r="P167" s="42">
        <v>3</v>
      </c>
      <c r="Q167" s="35" t="s">
        <v>30</v>
      </c>
      <c r="R167" s="35">
        <v>2</v>
      </c>
      <c r="S167" s="121">
        <v>3</v>
      </c>
      <c r="T167" s="42">
        <v>5</v>
      </c>
    </row>
    <row r="168" spans="1:20">
      <c r="A168" s="62" t="s">
        <v>286</v>
      </c>
      <c r="B168" s="61">
        <v>1084220244</v>
      </c>
      <c r="C168" s="62" t="s">
        <v>358</v>
      </c>
      <c r="D168" s="62" t="s">
        <v>288</v>
      </c>
      <c r="E168" s="62" t="s">
        <v>307</v>
      </c>
      <c r="F168" s="62"/>
      <c r="G168" s="63">
        <v>2786824.7655346259</v>
      </c>
      <c r="H168" s="127">
        <v>43132</v>
      </c>
      <c r="I168" s="65"/>
      <c r="J168" s="64">
        <v>31179</v>
      </c>
      <c r="K168" s="62">
        <f t="shared" si="10"/>
        <v>-85.36666666666666</v>
      </c>
      <c r="L168" s="62">
        <f t="shared" si="11"/>
        <v>-118.08611111111111</v>
      </c>
      <c r="M168" s="66" t="s">
        <v>34</v>
      </c>
      <c r="N168" s="67" t="str">
        <f t="shared" si="12"/>
        <v>TERMINO INDEFINIDO NUEVO</v>
      </c>
      <c r="O168" s="68">
        <v>70805</v>
      </c>
      <c r="P168" s="68">
        <v>3</v>
      </c>
      <c r="Q168" s="69" t="s">
        <v>30</v>
      </c>
      <c r="R168" s="69">
        <v>2</v>
      </c>
      <c r="S168" s="129">
        <v>1</v>
      </c>
      <c r="T168" s="68">
        <v>5</v>
      </c>
    </row>
    <row r="169" spans="1:20">
      <c r="A169" s="36" t="s">
        <v>286</v>
      </c>
      <c r="B169" s="71">
        <v>87473009</v>
      </c>
      <c r="C169" s="36" t="s">
        <v>359</v>
      </c>
      <c r="D169" s="36" t="s">
        <v>288</v>
      </c>
      <c r="E169" s="36" t="s">
        <v>307</v>
      </c>
      <c r="F169" s="36"/>
      <c r="G169" s="37">
        <v>2786824.7655346259</v>
      </c>
      <c r="H169" s="86">
        <v>40940</v>
      </c>
      <c r="I169" s="39"/>
      <c r="J169" s="38">
        <v>28532</v>
      </c>
      <c r="K169" s="25">
        <f t="shared" si="10"/>
        <v>-78.113888888888894</v>
      </c>
      <c r="L169" s="25">
        <f t="shared" si="11"/>
        <v>-112.08611111111111</v>
      </c>
      <c r="M169" s="40" t="s">
        <v>34</v>
      </c>
      <c r="N169" s="41" t="str">
        <f t="shared" si="12"/>
        <v>TERMINO INDEFINIDO NUEVO</v>
      </c>
      <c r="O169" s="42">
        <v>70805</v>
      </c>
      <c r="P169" s="42">
        <v>3</v>
      </c>
      <c r="Q169" s="35" t="s">
        <v>30</v>
      </c>
      <c r="R169" s="35">
        <v>2</v>
      </c>
      <c r="S169" s="121">
        <v>3</v>
      </c>
      <c r="T169" s="42">
        <v>5</v>
      </c>
    </row>
    <row r="170" spans="1:20">
      <c r="A170" s="25" t="s">
        <v>286</v>
      </c>
      <c r="B170" s="54">
        <v>1085321042</v>
      </c>
      <c r="C170" s="25" t="s">
        <v>360</v>
      </c>
      <c r="D170" s="25" t="s">
        <v>288</v>
      </c>
      <c r="E170" s="25" t="s">
        <v>303</v>
      </c>
      <c r="F170" s="25"/>
      <c r="G170" s="26">
        <v>2786824.7655346259</v>
      </c>
      <c r="H170" s="27">
        <v>46023</v>
      </c>
      <c r="I170" s="28">
        <v>46387</v>
      </c>
      <c r="J170" s="27">
        <v>34851</v>
      </c>
      <c r="K170" s="25">
        <f t="shared" si="10"/>
        <v>-95.419444444444451</v>
      </c>
      <c r="L170" s="25">
        <f t="shared" si="11"/>
        <v>-126.00277777777778</v>
      </c>
      <c r="M170" s="73">
        <v>1</v>
      </c>
      <c r="N170" s="30" t="str">
        <f t="shared" si="12"/>
        <v>TERMINO FIJO</v>
      </c>
      <c r="O170" s="29">
        <v>70805</v>
      </c>
      <c r="P170" s="32">
        <v>3</v>
      </c>
      <c r="Q170" s="29" t="s">
        <v>30</v>
      </c>
      <c r="R170" s="29">
        <v>2</v>
      </c>
      <c r="S170" s="122">
        <v>3</v>
      </c>
      <c r="T170" s="32">
        <v>5</v>
      </c>
    </row>
    <row r="171" spans="1:20">
      <c r="A171" s="36" t="s">
        <v>286</v>
      </c>
      <c r="B171" s="71">
        <v>1084221457</v>
      </c>
      <c r="C171" s="36" t="s">
        <v>361</v>
      </c>
      <c r="D171" s="36" t="s">
        <v>288</v>
      </c>
      <c r="E171" s="36" t="s">
        <v>307</v>
      </c>
      <c r="F171" s="36"/>
      <c r="G171" s="37">
        <v>2786824.7655346259</v>
      </c>
      <c r="H171" s="86">
        <v>42843</v>
      </c>
      <c r="I171" s="39"/>
      <c r="J171" s="38">
        <v>31901</v>
      </c>
      <c r="K171" s="25">
        <f t="shared" si="10"/>
        <v>-87.344444444444449</v>
      </c>
      <c r="L171" s="25">
        <f t="shared" si="11"/>
        <v>-117.3</v>
      </c>
      <c r="M171" s="40" t="s">
        <v>34</v>
      </c>
      <c r="N171" s="41" t="str">
        <f t="shared" si="12"/>
        <v>TERMINO INDEFINIDO NUEVO</v>
      </c>
      <c r="O171" s="42">
        <v>70805</v>
      </c>
      <c r="P171" s="42">
        <v>3</v>
      </c>
      <c r="Q171" s="35" t="s">
        <v>30</v>
      </c>
      <c r="R171" s="35">
        <v>2</v>
      </c>
      <c r="S171" s="121">
        <v>3</v>
      </c>
      <c r="T171" s="42">
        <v>5</v>
      </c>
    </row>
    <row r="172" spans="1:20">
      <c r="A172" s="36" t="s">
        <v>286</v>
      </c>
      <c r="B172" s="71">
        <v>98379258</v>
      </c>
      <c r="C172" s="36" t="s">
        <v>362</v>
      </c>
      <c r="D172" s="36" t="s">
        <v>288</v>
      </c>
      <c r="E172" s="36" t="s">
        <v>307</v>
      </c>
      <c r="F172" s="36"/>
      <c r="G172" s="37">
        <v>2786824.7655346259</v>
      </c>
      <c r="H172" s="86">
        <v>42114</v>
      </c>
      <c r="I172" s="39"/>
      <c r="J172" s="38">
        <v>26124</v>
      </c>
      <c r="K172" s="25">
        <f t="shared" si="10"/>
        <v>-71.527777777777771</v>
      </c>
      <c r="L172" s="25">
        <f t="shared" si="11"/>
        <v>-115.30555555555556</v>
      </c>
      <c r="M172" s="40" t="s">
        <v>34</v>
      </c>
      <c r="N172" s="124" t="str">
        <f t="shared" si="12"/>
        <v>TERMINO INDEFINIDO NUEVO</v>
      </c>
      <c r="O172" s="125">
        <v>70805</v>
      </c>
      <c r="P172" s="42">
        <v>3</v>
      </c>
      <c r="Q172" s="35" t="s">
        <v>30</v>
      </c>
      <c r="R172" s="35">
        <v>2</v>
      </c>
      <c r="S172" s="121">
        <v>3</v>
      </c>
      <c r="T172" s="42">
        <v>5</v>
      </c>
    </row>
    <row r="173" spans="1:20">
      <c r="A173" s="36" t="s">
        <v>286</v>
      </c>
      <c r="B173" s="71">
        <v>12748200</v>
      </c>
      <c r="C173" s="36" t="s">
        <v>363</v>
      </c>
      <c r="D173" s="36" t="s">
        <v>288</v>
      </c>
      <c r="E173" s="36" t="s">
        <v>307</v>
      </c>
      <c r="F173" s="36"/>
      <c r="G173" s="37">
        <v>2786824.7655346259</v>
      </c>
      <c r="H173" s="86">
        <v>42808</v>
      </c>
      <c r="I173" s="39"/>
      <c r="J173" s="38">
        <v>28853</v>
      </c>
      <c r="K173" s="25">
        <f t="shared" si="10"/>
        <v>-78.99722222222222</v>
      </c>
      <c r="L173" s="25">
        <f t="shared" si="11"/>
        <v>-117.20555555555555</v>
      </c>
      <c r="M173" s="40" t="s">
        <v>34</v>
      </c>
      <c r="N173" s="124" t="str">
        <f t="shared" si="12"/>
        <v>TERMINO INDEFINIDO NUEVO</v>
      </c>
      <c r="O173" s="125">
        <v>70805</v>
      </c>
      <c r="P173" s="42">
        <v>3</v>
      </c>
      <c r="Q173" s="35" t="s">
        <v>30</v>
      </c>
      <c r="R173" s="35">
        <v>2</v>
      </c>
      <c r="S173" s="121">
        <v>3</v>
      </c>
      <c r="T173" s="42">
        <v>5</v>
      </c>
    </row>
    <row r="174" spans="1:20">
      <c r="A174" s="25" t="s">
        <v>286</v>
      </c>
      <c r="B174" s="54">
        <v>1084846833</v>
      </c>
      <c r="C174" s="25" t="s">
        <v>364</v>
      </c>
      <c r="D174" s="25" t="s">
        <v>365</v>
      </c>
      <c r="E174" s="25" t="s">
        <v>307</v>
      </c>
      <c r="F174" s="25"/>
      <c r="G174" s="26">
        <v>2786824.4193000002</v>
      </c>
      <c r="H174" s="80">
        <v>46097</v>
      </c>
      <c r="I174" s="28">
        <v>46387</v>
      </c>
      <c r="J174" s="27">
        <v>33021</v>
      </c>
      <c r="K174" s="25">
        <f t="shared" si="10"/>
        <v>-90.411111111111111</v>
      </c>
      <c r="L174" s="25">
        <f t="shared" si="11"/>
        <v>-126.21111111111111</v>
      </c>
      <c r="M174" s="73">
        <v>1</v>
      </c>
      <c r="N174" s="57" t="str">
        <f t="shared" si="12"/>
        <v>TERMINO FIJO</v>
      </c>
      <c r="O174" s="58">
        <v>70805</v>
      </c>
      <c r="P174" s="32">
        <v>3</v>
      </c>
      <c r="Q174" s="29" t="s">
        <v>30</v>
      </c>
      <c r="R174" s="29">
        <v>2</v>
      </c>
      <c r="S174" s="122">
        <v>3</v>
      </c>
      <c r="T174" s="32">
        <v>5</v>
      </c>
    </row>
    <row r="175" spans="1:20">
      <c r="A175" s="36" t="s">
        <v>286</v>
      </c>
      <c r="B175" s="34">
        <v>1085635466</v>
      </c>
      <c r="C175" s="35" t="s">
        <v>366</v>
      </c>
      <c r="D175" s="36" t="s">
        <v>288</v>
      </c>
      <c r="E175" s="36" t="s">
        <v>307</v>
      </c>
      <c r="F175" s="36"/>
      <c r="G175" s="37">
        <v>2786824.7655346259</v>
      </c>
      <c r="H175" s="86">
        <v>42845</v>
      </c>
      <c r="I175" s="39"/>
      <c r="J175" s="38">
        <v>34210</v>
      </c>
      <c r="K175" s="25">
        <f t="shared" si="10"/>
        <v>-93.663888888888891</v>
      </c>
      <c r="L175" s="25">
        <f t="shared" si="11"/>
        <v>-117.30555555555556</v>
      </c>
      <c r="M175" s="40" t="s">
        <v>34</v>
      </c>
      <c r="N175" s="124" t="str">
        <f t="shared" si="12"/>
        <v>TERMINO INDEFINIDO NUEVO</v>
      </c>
      <c r="O175" s="125">
        <v>70805</v>
      </c>
      <c r="P175" s="42">
        <v>3</v>
      </c>
      <c r="Q175" s="35" t="s">
        <v>30</v>
      </c>
      <c r="R175" s="35">
        <v>2</v>
      </c>
      <c r="S175" s="121">
        <v>3</v>
      </c>
      <c r="T175" s="42">
        <v>5</v>
      </c>
    </row>
    <row r="176" spans="1:20">
      <c r="A176" s="36" t="s">
        <v>286</v>
      </c>
      <c r="B176" s="71">
        <v>87066811</v>
      </c>
      <c r="C176" s="36" t="s">
        <v>367</v>
      </c>
      <c r="D176" s="36" t="s">
        <v>365</v>
      </c>
      <c r="E176" s="36" t="s">
        <v>307</v>
      </c>
      <c r="F176" s="36"/>
      <c r="G176" s="37">
        <v>2786824.7655346259</v>
      </c>
      <c r="H176" s="86">
        <v>43110</v>
      </c>
      <c r="I176" s="39"/>
      <c r="J176" s="38">
        <v>30988</v>
      </c>
      <c r="K176" s="25">
        <f t="shared" si="10"/>
        <v>-84.838888888888889</v>
      </c>
      <c r="L176" s="25">
        <f t="shared" si="11"/>
        <v>-118.02777777777777</v>
      </c>
      <c r="M176" s="40" t="s">
        <v>34</v>
      </c>
      <c r="N176" s="124" t="str">
        <f t="shared" si="12"/>
        <v>TERMINO INDEFINIDO NUEVO</v>
      </c>
      <c r="O176" s="125">
        <v>70805</v>
      </c>
      <c r="P176" s="42">
        <v>3</v>
      </c>
      <c r="Q176" s="35" t="s">
        <v>30</v>
      </c>
      <c r="R176" s="35">
        <v>2</v>
      </c>
      <c r="S176" s="121">
        <v>3</v>
      </c>
      <c r="T176" s="42">
        <v>5</v>
      </c>
    </row>
    <row r="177" spans="1:20">
      <c r="A177" s="25" t="s">
        <v>286</v>
      </c>
      <c r="B177" s="54">
        <v>1085314114</v>
      </c>
      <c r="C177" s="25" t="s">
        <v>368</v>
      </c>
      <c r="D177" s="25" t="s">
        <v>365</v>
      </c>
      <c r="E177" s="25" t="s">
        <v>307</v>
      </c>
      <c r="F177" s="25"/>
      <c r="G177" s="26">
        <v>2786824.7655346259</v>
      </c>
      <c r="H177" s="80">
        <v>45673</v>
      </c>
      <c r="I177" s="28">
        <v>46387</v>
      </c>
      <c r="J177" s="27">
        <v>34539</v>
      </c>
      <c r="K177" s="25">
        <f t="shared" si="10"/>
        <v>-94.566666666666663</v>
      </c>
      <c r="L177" s="25">
        <f t="shared" si="11"/>
        <v>-125.04444444444445</v>
      </c>
      <c r="M177" s="73">
        <v>1</v>
      </c>
      <c r="N177" s="30" t="str">
        <f t="shared" si="12"/>
        <v>TERMINO FIJO</v>
      </c>
      <c r="O177" s="29">
        <v>70805</v>
      </c>
      <c r="P177" s="32">
        <v>3</v>
      </c>
      <c r="Q177" s="29" t="s">
        <v>30</v>
      </c>
      <c r="R177" s="29">
        <v>2</v>
      </c>
      <c r="S177" s="126">
        <v>3</v>
      </c>
      <c r="T177" s="32">
        <v>5</v>
      </c>
    </row>
    <row r="178" spans="1:20">
      <c r="A178" s="62" t="s">
        <v>286</v>
      </c>
      <c r="B178" s="61">
        <v>1085269790</v>
      </c>
      <c r="C178" s="62" t="s">
        <v>369</v>
      </c>
      <c r="D178" s="62" t="s">
        <v>365</v>
      </c>
      <c r="E178" s="62" t="s">
        <v>301</v>
      </c>
      <c r="F178" s="62"/>
      <c r="G178" s="63">
        <v>2786824.1399999624</v>
      </c>
      <c r="H178" s="127">
        <v>43776</v>
      </c>
      <c r="I178" s="65"/>
      <c r="J178" s="64">
        <v>32466</v>
      </c>
      <c r="K178" s="62">
        <f t="shared" si="10"/>
        <v>-88.886111111111106</v>
      </c>
      <c r="L178" s="62">
        <f t="shared" si="11"/>
        <v>-119.85277777777777</v>
      </c>
      <c r="M178" s="66" t="s">
        <v>34</v>
      </c>
      <c r="N178" s="135" t="str">
        <f t="shared" si="12"/>
        <v>TERMINO INDEFINIDO NUEVO</v>
      </c>
      <c r="O178" s="136">
        <v>70704</v>
      </c>
      <c r="P178" s="68">
        <v>3</v>
      </c>
      <c r="Q178" s="69" t="s">
        <v>30</v>
      </c>
      <c r="R178" s="69">
        <v>2</v>
      </c>
      <c r="S178" s="129">
        <v>3</v>
      </c>
      <c r="T178" s="68">
        <v>5</v>
      </c>
    </row>
    <row r="179" spans="1:20">
      <c r="A179" s="62" t="s">
        <v>149</v>
      </c>
      <c r="B179" s="61">
        <v>1085661425</v>
      </c>
      <c r="C179" s="62" t="s">
        <v>370</v>
      </c>
      <c r="D179" s="62" t="s">
        <v>151</v>
      </c>
      <c r="E179" s="62" t="s">
        <v>299</v>
      </c>
      <c r="F179" s="62"/>
      <c r="G179" s="63">
        <v>3415094.5981706623</v>
      </c>
      <c r="H179" s="127">
        <v>43800</v>
      </c>
      <c r="I179" s="65"/>
      <c r="J179" s="64">
        <v>33087</v>
      </c>
      <c r="K179" s="62">
        <f t="shared" si="10"/>
        <v>-90.588888888888889</v>
      </c>
      <c r="L179" s="62">
        <f t="shared" si="11"/>
        <v>-119.91944444444445</v>
      </c>
      <c r="M179" s="66" t="s">
        <v>34</v>
      </c>
      <c r="N179" s="135" t="str">
        <f t="shared" si="12"/>
        <v>TERMINO INDEFINIDO NUEVO</v>
      </c>
      <c r="O179" s="136">
        <v>704</v>
      </c>
      <c r="P179" s="68">
        <v>3</v>
      </c>
      <c r="Q179" s="69" t="s">
        <v>35</v>
      </c>
      <c r="R179" s="69">
        <v>1</v>
      </c>
      <c r="S179" s="129">
        <v>3</v>
      </c>
      <c r="T179" s="68">
        <v>6</v>
      </c>
    </row>
    <row r="180" spans="1:20">
      <c r="A180" s="36" t="s">
        <v>149</v>
      </c>
      <c r="B180" s="71">
        <v>36755625</v>
      </c>
      <c r="C180" s="36" t="s">
        <v>371</v>
      </c>
      <c r="D180" s="36" t="s">
        <v>151</v>
      </c>
      <c r="E180" s="36" t="s">
        <v>299</v>
      </c>
      <c r="F180" s="36" t="s">
        <v>311</v>
      </c>
      <c r="G180" s="37">
        <v>3415094.5981706623</v>
      </c>
      <c r="H180" s="86">
        <v>41612</v>
      </c>
      <c r="I180" s="39"/>
      <c r="J180" s="38">
        <v>29877</v>
      </c>
      <c r="K180" s="95">
        <f t="shared" si="10"/>
        <v>-81.8</v>
      </c>
      <c r="L180" s="36">
        <f t="shared" si="11"/>
        <v>-113.92777777777778</v>
      </c>
      <c r="M180" s="40" t="s">
        <v>34</v>
      </c>
      <c r="N180" s="124" t="str">
        <f t="shared" si="12"/>
        <v>TERMINO INDEFINIDO NUEVO</v>
      </c>
      <c r="O180" s="125">
        <v>703</v>
      </c>
      <c r="P180" s="42">
        <v>4</v>
      </c>
      <c r="Q180" s="35" t="s">
        <v>35</v>
      </c>
      <c r="R180" s="35">
        <v>1</v>
      </c>
      <c r="S180" s="121">
        <v>3</v>
      </c>
      <c r="T180" s="42">
        <v>6</v>
      </c>
    </row>
    <row r="181" spans="1:20">
      <c r="A181" s="104" t="s">
        <v>51</v>
      </c>
      <c r="B181" s="61">
        <v>1085249127</v>
      </c>
      <c r="C181" s="62" t="s">
        <v>372</v>
      </c>
      <c r="D181" s="62" t="s">
        <v>373</v>
      </c>
      <c r="E181" s="62" t="s">
        <v>299</v>
      </c>
      <c r="F181" s="62" t="s">
        <v>374</v>
      </c>
      <c r="G181" s="63">
        <v>3415094.5981706623</v>
      </c>
      <c r="H181" s="64">
        <v>44970</v>
      </c>
      <c r="I181" s="65"/>
      <c r="J181" s="64">
        <v>31187</v>
      </c>
      <c r="K181" s="62">
        <f t="shared" si="10"/>
        <v>-85.388888888888886</v>
      </c>
      <c r="L181" s="62">
        <f t="shared" si="11"/>
        <v>-123.11944444444444</v>
      </c>
      <c r="M181" s="66" t="s">
        <v>34</v>
      </c>
      <c r="N181" s="135" t="str">
        <f t="shared" si="12"/>
        <v>TERMINO INDEFINIDO NUEVO</v>
      </c>
      <c r="O181" s="136">
        <v>703</v>
      </c>
      <c r="P181" s="68">
        <v>3</v>
      </c>
      <c r="Q181" s="69" t="s">
        <v>30</v>
      </c>
      <c r="R181" s="69">
        <v>2</v>
      </c>
      <c r="S181" s="129">
        <v>3</v>
      </c>
      <c r="T181" s="68">
        <v>5</v>
      </c>
    </row>
    <row r="182" spans="1:20">
      <c r="A182" s="36" t="s">
        <v>286</v>
      </c>
      <c r="B182" s="71">
        <v>1085280744</v>
      </c>
      <c r="C182" s="35" t="s">
        <v>375</v>
      </c>
      <c r="D182" s="36" t="s">
        <v>288</v>
      </c>
      <c r="E182" s="36" t="s">
        <v>303</v>
      </c>
      <c r="F182" s="36" t="s">
        <v>376</v>
      </c>
      <c r="G182" s="37">
        <v>2786824.7655346259</v>
      </c>
      <c r="H182" s="86">
        <v>42979</v>
      </c>
      <c r="I182" s="39"/>
      <c r="J182" s="38">
        <v>32988</v>
      </c>
      <c r="K182" s="36">
        <f>(DAYS360(J182,$K$1))/360</f>
        <v>-90.319444444444443</v>
      </c>
      <c r="L182" s="36">
        <f>(DAYS360(H182,$K$1))/360</f>
        <v>-117.66944444444445</v>
      </c>
      <c r="M182" s="40" t="s">
        <v>34</v>
      </c>
      <c r="N182" s="124" t="str">
        <f>IF(M182=3,"SALARIO INTEGRAL",IF(M182=2,"TERMINO INDEFINIDO",IF(M182=1,"TERMINO FIJO",IF(M182="2_N","TERMINO INDEFINIDO NUEVO","OTRO"))))</f>
        <v>TERMINO INDEFINIDO NUEVO</v>
      </c>
      <c r="O182" s="125">
        <v>70805</v>
      </c>
      <c r="P182" s="42">
        <v>3</v>
      </c>
      <c r="Q182" s="35" t="s">
        <v>30</v>
      </c>
      <c r="R182" s="35">
        <v>2</v>
      </c>
      <c r="S182" s="121">
        <v>3</v>
      </c>
      <c r="T182" s="42">
        <v>5</v>
      </c>
    </row>
    <row r="183" spans="1:20">
      <c r="A183" s="24" t="s">
        <v>134</v>
      </c>
      <c r="B183" s="25" t="s">
        <v>377</v>
      </c>
      <c r="C183" s="25" t="s">
        <v>378</v>
      </c>
      <c r="D183" s="25" t="s">
        <v>137</v>
      </c>
      <c r="E183" s="25" t="s">
        <v>303</v>
      </c>
      <c r="F183" s="25"/>
      <c r="G183" s="26">
        <v>3971698.242858639</v>
      </c>
      <c r="H183" s="80">
        <v>31887</v>
      </c>
      <c r="I183" s="28"/>
      <c r="J183" s="27">
        <v>23859</v>
      </c>
      <c r="K183" s="25">
        <f>(DAYS360(J183,$K$1))/360</f>
        <v>-65.325000000000003</v>
      </c>
      <c r="L183" s="25">
        <f>(DAYS360(H183,$K$1))/360</f>
        <v>-87.305555555555557</v>
      </c>
      <c r="M183" s="29">
        <v>2</v>
      </c>
      <c r="N183" s="57" t="str">
        <f t="shared" si="12"/>
        <v>TERMINO INDEFINIDO</v>
      </c>
      <c r="O183" s="58">
        <v>703</v>
      </c>
      <c r="P183" s="32">
        <v>3</v>
      </c>
      <c r="Q183" s="29" t="s">
        <v>30</v>
      </c>
      <c r="R183" s="29">
        <v>2</v>
      </c>
      <c r="S183" s="122">
        <v>3</v>
      </c>
      <c r="T183" s="32">
        <v>5</v>
      </c>
    </row>
    <row r="184" spans="1:20">
      <c r="A184" s="25" t="s">
        <v>139</v>
      </c>
      <c r="B184" s="54" t="s">
        <v>379</v>
      </c>
      <c r="C184" s="25" t="s">
        <v>380</v>
      </c>
      <c r="D184" s="25" t="s">
        <v>218</v>
      </c>
      <c r="E184" s="25" t="s">
        <v>303</v>
      </c>
      <c r="F184" s="25"/>
      <c r="G184" s="26">
        <v>3971698.242858639</v>
      </c>
      <c r="H184" s="80">
        <v>37137</v>
      </c>
      <c r="I184" s="28"/>
      <c r="J184" s="27">
        <v>28469</v>
      </c>
      <c r="K184" s="25">
        <f>(DAYS360(J184,$K$1))/360</f>
        <v>-77.944444444444443</v>
      </c>
      <c r="L184" s="25">
        <f>(DAYS360(H184,$K$1))/360</f>
        <v>-101.675</v>
      </c>
      <c r="M184" s="29">
        <v>2</v>
      </c>
      <c r="N184" s="57" t="str">
        <f t="shared" si="12"/>
        <v>TERMINO INDEFINIDO</v>
      </c>
      <c r="O184" s="58">
        <v>703</v>
      </c>
      <c r="P184" s="32">
        <v>3</v>
      </c>
      <c r="Q184" s="29" t="s">
        <v>30</v>
      </c>
      <c r="R184" s="29">
        <v>2</v>
      </c>
      <c r="S184" s="122">
        <v>3</v>
      </c>
      <c r="T184" s="32">
        <v>5</v>
      </c>
    </row>
    <row r="185" spans="1:20">
      <c r="A185" s="25" t="s">
        <v>139</v>
      </c>
      <c r="B185" s="54" t="s">
        <v>381</v>
      </c>
      <c r="C185" s="25" t="s">
        <v>382</v>
      </c>
      <c r="D185" s="25" t="s">
        <v>218</v>
      </c>
      <c r="E185" s="25" t="s">
        <v>303</v>
      </c>
      <c r="F185" s="25"/>
      <c r="G185" s="26">
        <v>3971698.242858639</v>
      </c>
      <c r="H185" s="80">
        <v>34992</v>
      </c>
      <c r="I185" s="28"/>
      <c r="J185" s="27">
        <v>25705</v>
      </c>
      <c r="K185" s="25">
        <f t="shared" si="10"/>
        <v>-70.38055555555556</v>
      </c>
      <c r="L185" s="25">
        <f t="shared" si="11"/>
        <v>-95.805555555555557</v>
      </c>
      <c r="M185" s="29">
        <v>2</v>
      </c>
      <c r="N185" s="30" t="str">
        <f t="shared" si="12"/>
        <v>TERMINO INDEFINIDO</v>
      </c>
      <c r="O185" s="29">
        <v>70805</v>
      </c>
      <c r="P185" s="32">
        <v>3</v>
      </c>
      <c r="Q185" s="29" t="s">
        <v>30</v>
      </c>
      <c r="R185" s="29">
        <v>2</v>
      </c>
      <c r="S185" s="122">
        <v>3</v>
      </c>
      <c r="T185" s="32">
        <v>5</v>
      </c>
    </row>
    <row r="186" spans="1:20">
      <c r="A186" s="36" t="s">
        <v>139</v>
      </c>
      <c r="B186" s="71">
        <v>98389373</v>
      </c>
      <c r="C186" s="36" t="s">
        <v>383</v>
      </c>
      <c r="D186" s="36" t="s">
        <v>218</v>
      </c>
      <c r="E186" s="36" t="s">
        <v>303</v>
      </c>
      <c r="F186" s="36"/>
      <c r="G186" s="37">
        <v>3971698.29</v>
      </c>
      <c r="H186" s="137">
        <v>38021</v>
      </c>
      <c r="I186" s="39"/>
      <c r="J186" s="137">
        <v>26766</v>
      </c>
      <c r="K186" s="36">
        <f>(DAYS360(J186,$K$1))/360</f>
        <v>-73.283333333333331</v>
      </c>
      <c r="L186" s="36">
        <f>(DAYS360(H186,$K$1))/360</f>
        <v>-104.09444444444445</v>
      </c>
      <c r="M186" s="40" t="s">
        <v>34</v>
      </c>
      <c r="N186" s="124" t="str">
        <f t="shared" si="12"/>
        <v>TERMINO INDEFINIDO NUEVO</v>
      </c>
      <c r="O186" s="125">
        <v>70805</v>
      </c>
      <c r="P186" s="42">
        <v>4</v>
      </c>
      <c r="Q186" s="35" t="s">
        <v>30</v>
      </c>
      <c r="R186" s="35">
        <v>2</v>
      </c>
      <c r="S186" s="121">
        <v>2</v>
      </c>
      <c r="T186" s="42">
        <v>5</v>
      </c>
    </row>
    <row r="187" spans="1:20">
      <c r="A187" s="25" t="s">
        <v>139</v>
      </c>
      <c r="B187" s="25" t="s">
        <v>384</v>
      </c>
      <c r="C187" s="25" t="s">
        <v>385</v>
      </c>
      <c r="D187" s="25" t="s">
        <v>141</v>
      </c>
      <c r="E187" s="25" t="s">
        <v>303</v>
      </c>
      <c r="F187" s="25"/>
      <c r="G187" s="26">
        <v>3971698.242858639</v>
      </c>
      <c r="H187" s="80">
        <v>34974</v>
      </c>
      <c r="I187" s="28"/>
      <c r="J187" s="27">
        <v>23774</v>
      </c>
      <c r="K187" s="25">
        <f t="shared" si="10"/>
        <v>-65.086111111111109</v>
      </c>
      <c r="L187" s="25">
        <f t="shared" si="11"/>
        <v>-95.75555555555556</v>
      </c>
      <c r="M187" s="29">
        <v>2</v>
      </c>
      <c r="N187" s="57" t="str">
        <f t="shared" si="12"/>
        <v>TERMINO INDEFINIDO</v>
      </c>
      <c r="O187" s="58">
        <v>70601</v>
      </c>
      <c r="P187" s="32">
        <v>1</v>
      </c>
      <c r="Q187" s="29" t="s">
        <v>30</v>
      </c>
      <c r="R187" s="29">
        <v>2</v>
      </c>
      <c r="S187" s="122">
        <v>3</v>
      </c>
      <c r="T187" s="32">
        <v>5</v>
      </c>
    </row>
    <row r="188" spans="1:20">
      <c r="A188" s="36" t="s">
        <v>139</v>
      </c>
      <c r="B188" s="71">
        <v>87471318</v>
      </c>
      <c r="C188" s="36" t="s">
        <v>386</v>
      </c>
      <c r="D188" s="36" t="s">
        <v>218</v>
      </c>
      <c r="E188" s="36" t="s">
        <v>303</v>
      </c>
      <c r="F188" s="36"/>
      <c r="G188" s="37">
        <v>3971698.29</v>
      </c>
      <c r="H188" s="86">
        <v>39302</v>
      </c>
      <c r="I188" s="39"/>
      <c r="J188" s="38">
        <v>26214</v>
      </c>
      <c r="K188" s="36">
        <f t="shared" si="10"/>
        <v>-71.772222222222226</v>
      </c>
      <c r="L188" s="36">
        <f t="shared" si="11"/>
        <v>-107.60555555555555</v>
      </c>
      <c r="M188" s="40" t="s">
        <v>34</v>
      </c>
      <c r="N188" s="124" t="str">
        <f t="shared" si="12"/>
        <v>TERMINO INDEFINIDO NUEVO</v>
      </c>
      <c r="O188" s="125">
        <v>70805</v>
      </c>
      <c r="P188" s="42">
        <v>3</v>
      </c>
      <c r="Q188" s="35" t="s">
        <v>30</v>
      </c>
      <c r="R188" s="35">
        <v>2</v>
      </c>
      <c r="S188" s="121">
        <v>3</v>
      </c>
      <c r="T188" s="42">
        <v>5</v>
      </c>
    </row>
    <row r="189" spans="1:20">
      <c r="A189" s="25" t="s">
        <v>139</v>
      </c>
      <c r="B189" s="25" t="s">
        <v>387</v>
      </c>
      <c r="C189" s="25" t="s">
        <v>388</v>
      </c>
      <c r="D189" s="25" t="s">
        <v>141</v>
      </c>
      <c r="E189" s="25" t="s">
        <v>299</v>
      </c>
      <c r="F189" s="25"/>
      <c r="G189" s="26">
        <v>3971698.242858639</v>
      </c>
      <c r="H189" s="85">
        <v>31824</v>
      </c>
      <c r="I189" s="82"/>
      <c r="J189" s="27">
        <v>24091</v>
      </c>
      <c r="K189" s="25">
        <f t="shared" si="10"/>
        <v>-65.958333333333329</v>
      </c>
      <c r="L189" s="25">
        <f t="shared" si="11"/>
        <v>-87.12777777777778</v>
      </c>
      <c r="M189" s="29">
        <v>2</v>
      </c>
      <c r="N189" s="57" t="str">
        <f t="shared" si="12"/>
        <v>TERMINO INDEFINIDO</v>
      </c>
      <c r="O189" s="58">
        <v>703</v>
      </c>
      <c r="P189" s="32">
        <v>3</v>
      </c>
      <c r="Q189" s="29" t="s">
        <v>30</v>
      </c>
      <c r="R189" s="29">
        <v>2</v>
      </c>
      <c r="S189" s="122">
        <v>3</v>
      </c>
      <c r="T189" s="32">
        <v>5</v>
      </c>
    </row>
    <row r="190" spans="1:20">
      <c r="A190" s="24" t="s">
        <v>139</v>
      </c>
      <c r="B190" s="54" t="s">
        <v>389</v>
      </c>
      <c r="C190" s="25" t="s">
        <v>390</v>
      </c>
      <c r="D190" s="25" t="s">
        <v>218</v>
      </c>
      <c r="E190" s="25" t="s">
        <v>299</v>
      </c>
      <c r="F190" s="115"/>
      <c r="G190" s="116">
        <v>3971698.29</v>
      </c>
      <c r="H190" s="27">
        <v>32345</v>
      </c>
      <c r="I190" s="90"/>
      <c r="J190" s="27">
        <v>25083</v>
      </c>
      <c r="K190" s="25">
        <f>(DAYS360(J190,$K$1))/360</f>
        <v>-68.672222222222217</v>
      </c>
      <c r="L190" s="25">
        <f>(DAYS360(H190,$K$1))/360</f>
        <v>-88.558333333333337</v>
      </c>
      <c r="M190" s="73">
        <v>2</v>
      </c>
      <c r="N190" s="30" t="str">
        <f t="shared" si="12"/>
        <v>TERMINO INDEFINIDO</v>
      </c>
      <c r="O190" s="29">
        <v>704</v>
      </c>
      <c r="P190" s="29">
        <v>3</v>
      </c>
      <c r="Q190" s="29" t="s">
        <v>30</v>
      </c>
      <c r="R190" s="29">
        <v>2</v>
      </c>
      <c r="S190" s="59">
        <v>3</v>
      </c>
      <c r="T190" s="32">
        <v>5</v>
      </c>
    </row>
    <row r="191" spans="1:20">
      <c r="A191" s="25" t="s">
        <v>77</v>
      </c>
      <c r="B191" s="54">
        <v>1085250420</v>
      </c>
      <c r="C191" s="25" t="s">
        <v>391</v>
      </c>
      <c r="D191" s="25" t="s">
        <v>148</v>
      </c>
      <c r="E191" s="25" t="s">
        <v>303</v>
      </c>
      <c r="F191" s="25" t="s">
        <v>311</v>
      </c>
      <c r="G191" s="26">
        <v>3650451.9472095771</v>
      </c>
      <c r="H191" s="80">
        <v>45992</v>
      </c>
      <c r="I191" s="28">
        <v>46387</v>
      </c>
      <c r="J191" s="27">
        <v>31160</v>
      </c>
      <c r="K191" s="25">
        <f t="shared" si="10"/>
        <v>-85.313888888888883</v>
      </c>
      <c r="L191" s="25">
        <f t="shared" si="11"/>
        <v>-125.91944444444445</v>
      </c>
      <c r="M191" s="29">
        <v>1</v>
      </c>
      <c r="N191" s="57" t="str">
        <f t="shared" si="12"/>
        <v>TERMINO FIJO</v>
      </c>
      <c r="O191" s="58">
        <v>70601</v>
      </c>
      <c r="P191" s="32">
        <v>3</v>
      </c>
      <c r="Q191" s="29" t="s">
        <v>30</v>
      </c>
      <c r="R191" s="29">
        <v>2</v>
      </c>
      <c r="S191" s="122">
        <v>3</v>
      </c>
      <c r="T191" s="32">
        <v>5</v>
      </c>
    </row>
    <row r="192" spans="1:20">
      <c r="A192" s="25" t="s">
        <v>77</v>
      </c>
      <c r="B192" s="25" t="s">
        <v>392</v>
      </c>
      <c r="C192" s="25" t="s">
        <v>393</v>
      </c>
      <c r="D192" s="25" t="s">
        <v>148</v>
      </c>
      <c r="E192" s="25" t="s">
        <v>299</v>
      </c>
      <c r="F192" s="25" t="s">
        <v>394</v>
      </c>
      <c r="G192" s="26">
        <v>3650451.9472095771</v>
      </c>
      <c r="H192" s="80">
        <v>33434</v>
      </c>
      <c r="I192" s="28"/>
      <c r="J192" s="27">
        <v>25124</v>
      </c>
      <c r="K192" s="25">
        <f t="shared" si="10"/>
        <v>-68.786111111111111</v>
      </c>
      <c r="L192" s="25">
        <f t="shared" si="11"/>
        <v>-91.541666666666671</v>
      </c>
      <c r="M192" s="29">
        <v>2</v>
      </c>
      <c r="N192" s="57" t="str">
        <f t="shared" si="12"/>
        <v>TERMINO INDEFINIDO</v>
      </c>
      <c r="O192" s="58">
        <v>703</v>
      </c>
      <c r="P192" s="32">
        <v>3</v>
      </c>
      <c r="Q192" s="29" t="s">
        <v>30</v>
      </c>
      <c r="R192" s="29">
        <v>2</v>
      </c>
      <c r="S192" s="122">
        <v>3</v>
      </c>
      <c r="T192" s="32">
        <v>5</v>
      </c>
    </row>
    <row r="193" spans="1:20">
      <c r="A193" s="36" t="s">
        <v>77</v>
      </c>
      <c r="B193" s="71">
        <v>1085261276</v>
      </c>
      <c r="C193" s="36" t="s">
        <v>395</v>
      </c>
      <c r="D193" s="36" t="s">
        <v>148</v>
      </c>
      <c r="E193" s="36" t="s">
        <v>303</v>
      </c>
      <c r="F193" s="36"/>
      <c r="G193" s="37">
        <v>3650451.9472095771</v>
      </c>
      <c r="H193" s="86">
        <v>43591</v>
      </c>
      <c r="I193" s="39"/>
      <c r="J193" s="38">
        <v>31789</v>
      </c>
      <c r="K193" s="25">
        <f t="shared" si="10"/>
        <v>-87.033333333333331</v>
      </c>
      <c r="L193" s="25">
        <f t="shared" si="11"/>
        <v>-119.35</v>
      </c>
      <c r="M193" s="40" t="s">
        <v>34</v>
      </c>
      <c r="N193" s="124" t="str">
        <f t="shared" si="12"/>
        <v>TERMINO INDEFINIDO NUEVO</v>
      </c>
      <c r="O193" s="125">
        <v>703</v>
      </c>
      <c r="P193" s="42">
        <v>3</v>
      </c>
      <c r="Q193" s="35" t="s">
        <v>30</v>
      </c>
      <c r="R193" s="35">
        <v>2</v>
      </c>
      <c r="S193" s="138">
        <v>3</v>
      </c>
      <c r="T193" s="42">
        <v>5</v>
      </c>
    </row>
    <row r="194" spans="1:20">
      <c r="A194" s="25" t="s">
        <v>77</v>
      </c>
      <c r="B194" s="54" t="s">
        <v>396</v>
      </c>
      <c r="C194" s="25" t="s">
        <v>397</v>
      </c>
      <c r="D194" s="25" t="s">
        <v>148</v>
      </c>
      <c r="E194" s="25" t="s">
        <v>301</v>
      </c>
      <c r="F194" s="25"/>
      <c r="G194" s="26">
        <v>3650451.81</v>
      </c>
      <c r="H194" s="80">
        <v>36914</v>
      </c>
      <c r="I194" s="28"/>
      <c r="J194" s="27">
        <v>29003</v>
      </c>
      <c r="K194" s="25">
        <f t="shared" si="10"/>
        <v>-79.411111111111111</v>
      </c>
      <c r="L194" s="25">
        <f t="shared" si="11"/>
        <v>-101.06388888888888</v>
      </c>
      <c r="M194" s="29">
        <v>2</v>
      </c>
      <c r="N194" s="57" t="str">
        <f t="shared" si="12"/>
        <v>TERMINO INDEFINIDO</v>
      </c>
      <c r="O194" s="58">
        <v>70805</v>
      </c>
      <c r="P194" s="32">
        <v>3</v>
      </c>
      <c r="Q194" s="29" t="s">
        <v>30</v>
      </c>
      <c r="R194" s="29">
        <v>2</v>
      </c>
      <c r="S194" s="122">
        <v>2</v>
      </c>
      <c r="T194" s="32">
        <v>5</v>
      </c>
    </row>
    <row r="195" spans="1:20">
      <c r="A195" s="36" t="s">
        <v>77</v>
      </c>
      <c r="B195" s="71">
        <v>87304082</v>
      </c>
      <c r="C195" s="36" t="s">
        <v>398</v>
      </c>
      <c r="D195" s="36" t="s">
        <v>148</v>
      </c>
      <c r="E195" s="36" t="s">
        <v>299</v>
      </c>
      <c r="F195" s="36"/>
      <c r="G195" s="37">
        <v>3650451.9472095771</v>
      </c>
      <c r="H195" s="86">
        <v>42795</v>
      </c>
      <c r="I195" s="39"/>
      <c r="J195" s="38">
        <v>30673</v>
      </c>
      <c r="K195" s="36">
        <f t="shared" si="10"/>
        <v>-83.980555555555554</v>
      </c>
      <c r="L195" s="36">
        <f t="shared" si="11"/>
        <v>-117.16944444444445</v>
      </c>
      <c r="M195" s="40" t="s">
        <v>34</v>
      </c>
      <c r="N195" s="41" t="str">
        <f t="shared" si="12"/>
        <v>TERMINO INDEFINIDO NUEVO</v>
      </c>
      <c r="O195" s="42">
        <v>703</v>
      </c>
      <c r="P195" s="42">
        <v>1</v>
      </c>
      <c r="Q195" s="35" t="s">
        <v>30</v>
      </c>
      <c r="R195" s="35">
        <v>1</v>
      </c>
      <c r="S195" s="121">
        <v>2</v>
      </c>
      <c r="T195" s="42">
        <v>5</v>
      </c>
    </row>
    <row r="196" spans="1:20">
      <c r="A196" s="36" t="s">
        <v>220</v>
      </c>
      <c r="B196" s="71">
        <v>98385399</v>
      </c>
      <c r="C196" s="36" t="s">
        <v>399</v>
      </c>
      <c r="D196" s="36" t="s">
        <v>222</v>
      </c>
      <c r="E196" s="36" t="s">
        <v>299</v>
      </c>
      <c r="F196" s="36"/>
      <c r="G196" s="37">
        <v>3120219.7568999999</v>
      </c>
      <c r="H196" s="86">
        <v>38153</v>
      </c>
      <c r="I196" s="39"/>
      <c r="J196" s="38">
        <v>26455</v>
      </c>
      <c r="K196" s="36">
        <f t="shared" si="10"/>
        <v>-72.430555555555557</v>
      </c>
      <c r="L196" s="36">
        <f t="shared" si="11"/>
        <v>-104.45833333333333</v>
      </c>
      <c r="M196" s="40" t="s">
        <v>34</v>
      </c>
      <c r="N196" s="41" t="str">
        <f t="shared" si="12"/>
        <v>TERMINO INDEFINIDO NUEVO</v>
      </c>
      <c r="O196" s="42">
        <v>703</v>
      </c>
      <c r="P196" s="42">
        <v>3</v>
      </c>
      <c r="Q196" s="35" t="s">
        <v>30</v>
      </c>
      <c r="R196" s="35">
        <v>2</v>
      </c>
      <c r="S196" s="121">
        <v>3</v>
      </c>
      <c r="T196" s="42">
        <v>5</v>
      </c>
    </row>
    <row r="197" spans="1:20">
      <c r="A197" s="36" t="s">
        <v>220</v>
      </c>
      <c r="B197" s="71">
        <v>79569418</v>
      </c>
      <c r="C197" s="36" t="s">
        <v>400</v>
      </c>
      <c r="D197" s="36" t="s">
        <v>401</v>
      </c>
      <c r="E197" s="36" t="s">
        <v>299</v>
      </c>
      <c r="F197" s="36"/>
      <c r="G197" s="37">
        <v>3120219.7568999999</v>
      </c>
      <c r="H197" s="86">
        <v>41130</v>
      </c>
      <c r="I197" s="39"/>
      <c r="J197" s="38">
        <v>26369</v>
      </c>
      <c r="K197" s="36">
        <f t="shared" ref="K197:K226" si="13">(DAYS360(J197,$K$1))/360</f>
        <v>-72.197222222222223</v>
      </c>
      <c r="L197" s="36">
        <f t="shared" ref="L197:L226" si="14">(DAYS360(H197,$K$1))/360</f>
        <v>-112.60833333333333</v>
      </c>
      <c r="M197" s="40" t="s">
        <v>34</v>
      </c>
      <c r="N197" s="41" t="str">
        <f t="shared" si="12"/>
        <v>TERMINO INDEFINIDO NUEVO</v>
      </c>
      <c r="O197" s="42">
        <v>703</v>
      </c>
      <c r="P197" s="42">
        <v>3</v>
      </c>
      <c r="Q197" s="35" t="s">
        <v>30</v>
      </c>
      <c r="R197" s="35">
        <v>2</v>
      </c>
      <c r="S197" s="121">
        <v>5</v>
      </c>
      <c r="T197" s="42">
        <v>5</v>
      </c>
    </row>
    <row r="198" spans="1:20">
      <c r="A198" s="114" t="s">
        <v>56</v>
      </c>
      <c r="B198" s="71">
        <v>12981296</v>
      </c>
      <c r="C198" s="36" t="s">
        <v>402</v>
      </c>
      <c r="D198" s="36" t="s">
        <v>275</v>
      </c>
      <c r="E198" s="36" t="s">
        <v>301</v>
      </c>
      <c r="F198" s="36"/>
      <c r="G198" s="37">
        <v>3231586.9520465797</v>
      </c>
      <c r="H198" s="86">
        <v>43109</v>
      </c>
      <c r="I198" s="39"/>
      <c r="J198" s="38">
        <v>23458</v>
      </c>
      <c r="K198" s="36">
        <f t="shared" si="13"/>
        <v>-64.227777777777774</v>
      </c>
      <c r="L198" s="36">
        <f t="shared" si="14"/>
        <v>-118.02500000000001</v>
      </c>
      <c r="M198" s="40" t="s">
        <v>34</v>
      </c>
      <c r="N198" s="34" t="str">
        <f t="shared" si="12"/>
        <v>TERMINO INDEFINIDO NUEVO</v>
      </c>
      <c r="O198" s="35">
        <v>704</v>
      </c>
      <c r="P198" s="35">
        <v>5</v>
      </c>
      <c r="Q198" s="35" t="s">
        <v>30</v>
      </c>
      <c r="R198" s="35">
        <v>2</v>
      </c>
      <c r="S198" s="121">
        <v>3</v>
      </c>
      <c r="T198" s="42">
        <v>5</v>
      </c>
    </row>
    <row r="199" spans="1:20">
      <c r="A199" s="114" t="s">
        <v>56</v>
      </c>
      <c r="B199" s="71">
        <v>1130651719</v>
      </c>
      <c r="C199" s="36" t="s">
        <v>403</v>
      </c>
      <c r="D199" s="36" t="s">
        <v>275</v>
      </c>
      <c r="E199" s="36" t="s">
        <v>299</v>
      </c>
      <c r="F199" s="36" t="s">
        <v>404</v>
      </c>
      <c r="G199" s="37">
        <v>3231586.9520465797</v>
      </c>
      <c r="H199" s="86">
        <v>40725</v>
      </c>
      <c r="I199" s="39"/>
      <c r="J199" s="38">
        <v>31815</v>
      </c>
      <c r="K199" s="36">
        <f t="shared" si="13"/>
        <v>-87.102777777777774</v>
      </c>
      <c r="L199" s="36">
        <f t="shared" si="14"/>
        <v>-111.50277777777778</v>
      </c>
      <c r="M199" s="40" t="s">
        <v>34</v>
      </c>
      <c r="N199" s="41" t="str">
        <f t="shared" si="12"/>
        <v>TERMINO INDEFINIDO NUEVO</v>
      </c>
      <c r="O199" s="42">
        <v>703</v>
      </c>
      <c r="P199" s="42">
        <v>5</v>
      </c>
      <c r="Q199" s="35" t="s">
        <v>30</v>
      </c>
      <c r="R199" s="35">
        <v>2</v>
      </c>
      <c r="S199" s="121">
        <v>3</v>
      </c>
      <c r="T199" s="42">
        <v>5</v>
      </c>
    </row>
    <row r="200" spans="1:20">
      <c r="A200" s="72" t="s">
        <v>56</v>
      </c>
      <c r="B200" s="54"/>
      <c r="C200" s="25" t="s">
        <v>159</v>
      </c>
      <c r="D200" s="25" t="s">
        <v>275</v>
      </c>
      <c r="E200" s="25" t="s">
        <v>301</v>
      </c>
      <c r="F200" s="25"/>
      <c r="G200" s="26">
        <v>3231586.9520465797</v>
      </c>
      <c r="H200" s="27"/>
      <c r="I200" s="28"/>
      <c r="J200" s="27"/>
      <c r="K200" s="25">
        <f>(DAYS360(J200,$K$1))/360</f>
        <v>0</v>
      </c>
      <c r="L200" s="25">
        <f>(DAYS360(H200,$K$1))/360</f>
        <v>0</v>
      </c>
      <c r="M200" s="29">
        <v>91</v>
      </c>
      <c r="N200" s="76" t="str">
        <f t="shared" si="12"/>
        <v>OTRO</v>
      </c>
      <c r="O200" s="32">
        <v>133</v>
      </c>
      <c r="P200" s="32"/>
      <c r="Q200" s="29"/>
      <c r="R200" s="29"/>
      <c r="S200" s="59"/>
      <c r="T200" s="32"/>
    </row>
    <row r="201" spans="1:20">
      <c r="A201" s="118" t="s">
        <v>56</v>
      </c>
      <c r="B201" s="61">
        <v>1085635567</v>
      </c>
      <c r="C201" s="69" t="s">
        <v>405</v>
      </c>
      <c r="D201" s="62" t="s">
        <v>275</v>
      </c>
      <c r="E201" s="62" t="s">
        <v>301</v>
      </c>
      <c r="F201" s="62" t="s">
        <v>406</v>
      </c>
      <c r="G201" s="63">
        <v>3231586.9520465797</v>
      </c>
      <c r="H201" s="64">
        <v>43132</v>
      </c>
      <c r="I201" s="64"/>
      <c r="J201" s="64">
        <v>34449</v>
      </c>
      <c r="K201" s="62">
        <f t="shared" si="13"/>
        <v>-94.319444444444443</v>
      </c>
      <c r="L201" s="62">
        <f t="shared" si="14"/>
        <v>-118.08611111111111</v>
      </c>
      <c r="M201" s="66" t="s">
        <v>34</v>
      </c>
      <c r="N201" s="135" t="str">
        <f t="shared" si="12"/>
        <v>TERMINO INDEFINIDO NUEVO</v>
      </c>
      <c r="O201" s="136">
        <v>704</v>
      </c>
      <c r="P201" s="68">
        <v>3</v>
      </c>
      <c r="Q201" s="69" t="s">
        <v>30</v>
      </c>
      <c r="R201" s="69">
        <v>2</v>
      </c>
      <c r="S201" s="139">
        <v>1</v>
      </c>
      <c r="T201" s="68">
        <v>7</v>
      </c>
    </row>
    <row r="202" spans="1:20">
      <c r="A202" s="114" t="s">
        <v>56</v>
      </c>
      <c r="B202" s="71">
        <v>12995907</v>
      </c>
      <c r="C202" s="36" t="s">
        <v>407</v>
      </c>
      <c r="D202" s="36" t="s">
        <v>275</v>
      </c>
      <c r="E202" s="36" t="s">
        <v>301</v>
      </c>
      <c r="F202" s="36" t="s">
        <v>408</v>
      </c>
      <c r="G202" s="37">
        <v>3231586.9520465797</v>
      </c>
      <c r="H202" s="38">
        <v>42389</v>
      </c>
      <c r="I202" s="39"/>
      <c r="J202" s="38">
        <v>25173</v>
      </c>
      <c r="K202" s="25">
        <f>(DAYS360(J202,$K$1))/360</f>
        <v>-68.919444444444451</v>
      </c>
      <c r="L202" s="55">
        <f>(DAYS360(H202,$K$1))/360</f>
        <v>-116.05555555555556</v>
      </c>
      <c r="M202" s="40" t="s">
        <v>34</v>
      </c>
      <c r="N202" s="41" t="str">
        <f t="shared" si="12"/>
        <v>TERMINO INDEFINIDO NUEVO</v>
      </c>
      <c r="O202" s="42">
        <v>604</v>
      </c>
      <c r="P202" s="42">
        <v>5</v>
      </c>
      <c r="Q202" s="35" t="s">
        <v>30</v>
      </c>
      <c r="R202" s="35">
        <v>1</v>
      </c>
      <c r="S202" s="107">
        <v>5</v>
      </c>
      <c r="T202" s="42">
        <v>5</v>
      </c>
    </row>
    <row r="203" spans="1:20">
      <c r="A203" s="36" t="s">
        <v>409</v>
      </c>
      <c r="B203" s="71">
        <v>98382545</v>
      </c>
      <c r="C203" s="36" t="s">
        <v>410</v>
      </c>
      <c r="D203" s="36" t="s">
        <v>411</v>
      </c>
      <c r="E203" s="36" t="s">
        <v>307</v>
      </c>
      <c r="F203" s="36"/>
      <c r="G203" s="37">
        <v>3231586.9520465797</v>
      </c>
      <c r="H203" s="86">
        <v>39234</v>
      </c>
      <c r="I203" s="39"/>
      <c r="J203" s="38">
        <v>26266</v>
      </c>
      <c r="K203" s="25">
        <f t="shared" si="13"/>
        <v>-71.913888888888891</v>
      </c>
      <c r="L203" s="25">
        <f t="shared" si="14"/>
        <v>-107.41944444444445</v>
      </c>
      <c r="M203" s="40" t="s">
        <v>34</v>
      </c>
      <c r="N203" s="41" t="str">
        <f t="shared" ref="N203:N261" si="15">IF(M203=3,"SALARIO INTEGRAL",IF(M203=2,"TERMINO INDEFINIDO",IF(M203=1,"TERMINO FIJO",IF(M203="2_N","TERMINO INDEFINIDO NUEVO","OTRO"))))</f>
        <v>TERMINO INDEFINIDO NUEVO</v>
      </c>
      <c r="O203" s="42">
        <v>70805</v>
      </c>
      <c r="P203" s="42">
        <v>3</v>
      </c>
      <c r="Q203" s="35" t="s">
        <v>30</v>
      </c>
      <c r="R203" s="35">
        <v>2</v>
      </c>
      <c r="S203" s="121">
        <v>3</v>
      </c>
      <c r="T203" s="42">
        <v>5</v>
      </c>
    </row>
    <row r="204" spans="1:20">
      <c r="A204" s="36" t="s">
        <v>409</v>
      </c>
      <c r="B204" s="71">
        <v>98395042</v>
      </c>
      <c r="C204" s="36" t="s">
        <v>412</v>
      </c>
      <c r="D204" s="36" t="s">
        <v>411</v>
      </c>
      <c r="E204" s="36" t="s">
        <v>307</v>
      </c>
      <c r="F204" s="36"/>
      <c r="G204" s="37">
        <v>3231586.9520465797</v>
      </c>
      <c r="H204" s="86">
        <v>38348</v>
      </c>
      <c r="I204" s="39"/>
      <c r="J204" s="38">
        <v>27948</v>
      </c>
      <c r="K204" s="25">
        <f t="shared" si="13"/>
        <v>-76.519444444444446</v>
      </c>
      <c r="L204" s="25">
        <f t="shared" si="14"/>
        <v>-104.99166666666666</v>
      </c>
      <c r="M204" s="40" t="s">
        <v>34</v>
      </c>
      <c r="N204" s="41" t="str">
        <f t="shared" si="15"/>
        <v>TERMINO INDEFINIDO NUEVO</v>
      </c>
      <c r="O204" s="42">
        <v>70805</v>
      </c>
      <c r="P204" s="42">
        <v>3</v>
      </c>
      <c r="Q204" s="35" t="s">
        <v>30</v>
      </c>
      <c r="R204" s="35">
        <v>2</v>
      </c>
      <c r="S204" s="121">
        <v>3</v>
      </c>
      <c r="T204" s="42">
        <v>5</v>
      </c>
    </row>
    <row r="205" spans="1:20">
      <c r="A205" s="25" t="s">
        <v>409</v>
      </c>
      <c r="B205" s="54" t="s">
        <v>413</v>
      </c>
      <c r="C205" s="25" t="s">
        <v>414</v>
      </c>
      <c r="D205" s="25" t="s">
        <v>411</v>
      </c>
      <c r="E205" s="25" t="s">
        <v>307</v>
      </c>
      <c r="F205" s="25"/>
      <c r="G205" s="26">
        <v>3231586.9520465797</v>
      </c>
      <c r="H205" s="80">
        <v>32295</v>
      </c>
      <c r="I205" s="28"/>
      <c r="J205" s="27">
        <v>23830</v>
      </c>
      <c r="K205" s="25">
        <f t="shared" si="13"/>
        <v>-65.24722222222222</v>
      </c>
      <c r="L205" s="25">
        <f t="shared" si="14"/>
        <v>-88.419444444444451</v>
      </c>
      <c r="M205" s="29">
        <v>2</v>
      </c>
      <c r="N205" s="57" t="str">
        <f t="shared" si="15"/>
        <v>TERMINO INDEFINIDO</v>
      </c>
      <c r="O205" s="58">
        <v>70805</v>
      </c>
      <c r="P205" s="32">
        <v>3</v>
      </c>
      <c r="Q205" s="29" t="s">
        <v>30</v>
      </c>
      <c r="R205" s="29">
        <v>2</v>
      </c>
      <c r="S205" s="122">
        <v>3</v>
      </c>
      <c r="T205" s="32">
        <v>5</v>
      </c>
    </row>
    <row r="206" spans="1:20">
      <c r="A206" s="36" t="s">
        <v>409</v>
      </c>
      <c r="B206" s="71">
        <v>98389687</v>
      </c>
      <c r="C206" s="36" t="s">
        <v>415</v>
      </c>
      <c r="D206" s="36" t="s">
        <v>411</v>
      </c>
      <c r="E206" s="36" t="s">
        <v>307</v>
      </c>
      <c r="F206" s="36" t="s">
        <v>44</v>
      </c>
      <c r="G206" s="37">
        <v>3231587.3241836703</v>
      </c>
      <c r="H206" s="86">
        <v>38527</v>
      </c>
      <c r="I206" s="39"/>
      <c r="J206" s="38">
        <v>26934</v>
      </c>
      <c r="K206" s="36">
        <f t="shared" si="13"/>
        <v>-73.74166666666666</v>
      </c>
      <c r="L206" s="36">
        <f t="shared" si="14"/>
        <v>-105.48333333333333</v>
      </c>
      <c r="M206" s="40" t="s">
        <v>34</v>
      </c>
      <c r="N206" s="41" t="str">
        <f t="shared" si="15"/>
        <v>TERMINO INDEFINIDO NUEVO</v>
      </c>
      <c r="O206" s="42">
        <v>70805</v>
      </c>
      <c r="P206" s="42">
        <v>3</v>
      </c>
      <c r="Q206" s="35" t="s">
        <v>30</v>
      </c>
      <c r="R206" s="35">
        <v>2</v>
      </c>
      <c r="S206" s="121">
        <v>3</v>
      </c>
      <c r="T206" s="42">
        <v>5</v>
      </c>
    </row>
    <row r="207" spans="1:20">
      <c r="A207" s="25" t="s">
        <v>409</v>
      </c>
      <c r="B207" s="25" t="s">
        <v>416</v>
      </c>
      <c r="C207" s="25" t="s">
        <v>417</v>
      </c>
      <c r="D207" s="25" t="s">
        <v>411</v>
      </c>
      <c r="E207" s="25" t="s">
        <v>307</v>
      </c>
      <c r="F207" s="25"/>
      <c r="G207" s="26">
        <v>3231586.9520465797</v>
      </c>
      <c r="H207" s="80">
        <v>35201</v>
      </c>
      <c r="I207" s="28"/>
      <c r="J207" s="27">
        <v>26962</v>
      </c>
      <c r="K207" s="25">
        <f t="shared" si="13"/>
        <v>-73.819444444444443</v>
      </c>
      <c r="L207" s="25">
        <f t="shared" si="14"/>
        <v>-96.37777777777778</v>
      </c>
      <c r="M207" s="29">
        <v>2</v>
      </c>
      <c r="N207" s="57" t="str">
        <f t="shared" si="15"/>
        <v>TERMINO INDEFINIDO</v>
      </c>
      <c r="O207" s="58">
        <v>70805</v>
      </c>
      <c r="P207" s="32">
        <v>3</v>
      </c>
      <c r="Q207" s="29" t="s">
        <v>30</v>
      </c>
      <c r="R207" s="29">
        <v>2</v>
      </c>
      <c r="S207" s="122">
        <v>3</v>
      </c>
      <c r="T207" s="32">
        <v>5</v>
      </c>
    </row>
    <row r="208" spans="1:20">
      <c r="A208" s="25" t="s">
        <v>409</v>
      </c>
      <c r="B208" s="25" t="s">
        <v>418</v>
      </c>
      <c r="C208" s="25" t="s">
        <v>419</v>
      </c>
      <c r="D208" s="25" t="s">
        <v>411</v>
      </c>
      <c r="E208" s="25" t="s">
        <v>307</v>
      </c>
      <c r="F208" s="25"/>
      <c r="G208" s="26">
        <v>3231586.9520465797</v>
      </c>
      <c r="H208" s="80">
        <v>36235</v>
      </c>
      <c r="I208" s="28"/>
      <c r="J208" s="27">
        <v>26353</v>
      </c>
      <c r="K208" s="25">
        <f t="shared" si="13"/>
        <v>-72.150000000000006</v>
      </c>
      <c r="L208" s="25">
        <f t="shared" si="14"/>
        <v>-99.211111111111109</v>
      </c>
      <c r="M208" s="29">
        <v>2</v>
      </c>
      <c r="N208" s="57" t="str">
        <f t="shared" si="15"/>
        <v>TERMINO INDEFINIDO</v>
      </c>
      <c r="O208" s="58">
        <v>70805</v>
      </c>
      <c r="P208" s="32">
        <v>3</v>
      </c>
      <c r="Q208" s="29" t="s">
        <v>30</v>
      </c>
      <c r="R208" s="29">
        <v>2</v>
      </c>
      <c r="S208" s="122">
        <v>3</v>
      </c>
      <c r="T208" s="32">
        <v>5</v>
      </c>
    </row>
    <row r="209" spans="1:20">
      <c r="A209" s="62" t="s">
        <v>264</v>
      </c>
      <c r="B209" s="61">
        <v>1085331299</v>
      </c>
      <c r="C209" s="62" t="s">
        <v>420</v>
      </c>
      <c r="D209" s="62" t="s">
        <v>421</v>
      </c>
      <c r="E209" s="62" t="s">
        <v>301</v>
      </c>
      <c r="F209" s="62" t="s">
        <v>422</v>
      </c>
      <c r="G209" s="63">
        <v>3231587.3241836703</v>
      </c>
      <c r="H209" s="64">
        <v>43739</v>
      </c>
      <c r="I209" s="65"/>
      <c r="J209" s="64">
        <v>35330</v>
      </c>
      <c r="K209" s="62">
        <f>(DAYS360(J209,$K$1))/360</f>
        <v>-96.727777777777774</v>
      </c>
      <c r="L209" s="62">
        <f>(DAYS360(H209,$K$1))/360</f>
        <v>-119.75277777777778</v>
      </c>
      <c r="M209" s="66" t="s">
        <v>34</v>
      </c>
      <c r="N209" s="74" t="str">
        <f>IF(M209=3,"SALARIO INTEGRAL",IF(M209=2,"TERMINO INDEFINIDO",IF(M209=1,"TERMINO FIJO",IF(M209="2_N","TERMINO INDEFINIDO NUEVO","OTRO"))))</f>
        <v>TERMINO INDEFINIDO NUEVO</v>
      </c>
      <c r="O209" s="69">
        <v>70704</v>
      </c>
      <c r="P209" s="69">
        <v>3</v>
      </c>
      <c r="Q209" s="69" t="s">
        <v>30</v>
      </c>
      <c r="R209" s="69">
        <v>2</v>
      </c>
      <c r="S209" s="75">
        <v>3</v>
      </c>
      <c r="T209" s="68">
        <v>5</v>
      </c>
    </row>
    <row r="210" spans="1:20">
      <c r="A210" s="24" t="s">
        <v>423</v>
      </c>
      <c r="B210" s="25" t="s">
        <v>424</v>
      </c>
      <c r="C210" s="25" t="s">
        <v>425</v>
      </c>
      <c r="D210" s="25" t="s">
        <v>421</v>
      </c>
      <c r="E210" s="25" t="s">
        <v>301</v>
      </c>
      <c r="F210" s="25"/>
      <c r="G210" s="26">
        <v>3971698.0446149404</v>
      </c>
      <c r="H210" s="80">
        <v>35448</v>
      </c>
      <c r="I210" s="28"/>
      <c r="J210" s="27">
        <v>25821</v>
      </c>
      <c r="K210" s="25">
        <f t="shared" si="13"/>
        <v>-70.694444444444443</v>
      </c>
      <c r="L210" s="25">
        <f t="shared" si="14"/>
        <v>-97.05</v>
      </c>
      <c r="M210" s="29">
        <v>2</v>
      </c>
      <c r="N210" s="57" t="str">
        <f t="shared" si="15"/>
        <v>TERMINO INDEFINIDO</v>
      </c>
      <c r="O210" s="58">
        <v>70706</v>
      </c>
      <c r="P210" s="32">
        <v>3</v>
      </c>
      <c r="Q210" s="29" t="s">
        <v>30</v>
      </c>
      <c r="R210" s="29">
        <v>2</v>
      </c>
      <c r="S210" s="122">
        <v>2</v>
      </c>
      <c r="T210" s="32">
        <v>5</v>
      </c>
    </row>
    <row r="211" spans="1:20">
      <c r="A211" s="24" t="s">
        <v>423</v>
      </c>
      <c r="B211" s="25" t="s">
        <v>426</v>
      </c>
      <c r="C211" s="25" t="s">
        <v>427</v>
      </c>
      <c r="D211" s="25" t="s">
        <v>421</v>
      </c>
      <c r="E211" s="25" t="s">
        <v>301</v>
      </c>
      <c r="F211" s="25"/>
      <c r="G211" s="26">
        <v>3971698.0446149404</v>
      </c>
      <c r="H211" s="80">
        <v>35582</v>
      </c>
      <c r="I211" s="28"/>
      <c r="J211" s="27">
        <v>26919</v>
      </c>
      <c r="K211" s="25">
        <f t="shared" si="13"/>
        <v>-73.7</v>
      </c>
      <c r="L211" s="25">
        <f t="shared" si="14"/>
        <v>-97.419444444444451</v>
      </c>
      <c r="M211" s="29">
        <v>2</v>
      </c>
      <c r="N211" s="57" t="str">
        <f t="shared" si="15"/>
        <v>TERMINO INDEFINIDO</v>
      </c>
      <c r="O211" s="58">
        <v>70706</v>
      </c>
      <c r="P211" s="32">
        <v>3</v>
      </c>
      <c r="Q211" s="29" t="s">
        <v>30</v>
      </c>
      <c r="R211" s="29">
        <v>2</v>
      </c>
      <c r="S211" s="122">
        <v>3</v>
      </c>
      <c r="T211" s="32">
        <v>5</v>
      </c>
    </row>
    <row r="212" spans="1:20">
      <c r="A212" s="24" t="s">
        <v>423</v>
      </c>
      <c r="B212" s="54" t="s">
        <v>428</v>
      </c>
      <c r="C212" s="25" t="s">
        <v>429</v>
      </c>
      <c r="D212" s="25" t="s">
        <v>421</v>
      </c>
      <c r="E212" s="25" t="s">
        <v>301</v>
      </c>
      <c r="F212" s="25"/>
      <c r="G212" s="26">
        <v>3971698.2212848198</v>
      </c>
      <c r="H212" s="80">
        <v>36601</v>
      </c>
      <c r="I212" s="28"/>
      <c r="J212" s="27">
        <v>29851</v>
      </c>
      <c r="K212" s="25">
        <f t="shared" si="13"/>
        <v>-81.727777777777774</v>
      </c>
      <c r="L212" s="25">
        <f t="shared" si="14"/>
        <v>-100.21111111111111</v>
      </c>
      <c r="M212" s="73">
        <v>2</v>
      </c>
      <c r="N212" s="57" t="str">
        <f t="shared" si="15"/>
        <v>TERMINO INDEFINIDO</v>
      </c>
      <c r="O212" s="58">
        <v>70706</v>
      </c>
      <c r="P212" s="32">
        <v>3</v>
      </c>
      <c r="Q212" s="29" t="s">
        <v>30</v>
      </c>
      <c r="R212" s="29">
        <v>2</v>
      </c>
      <c r="S212" s="122">
        <v>3</v>
      </c>
      <c r="T212" s="32">
        <v>5</v>
      </c>
    </row>
    <row r="213" spans="1:20">
      <c r="A213" s="36" t="s">
        <v>264</v>
      </c>
      <c r="B213" s="71">
        <v>12745486</v>
      </c>
      <c r="C213" s="36" t="s">
        <v>430</v>
      </c>
      <c r="D213" s="36" t="s">
        <v>267</v>
      </c>
      <c r="E213" s="62" t="s">
        <v>299</v>
      </c>
      <c r="F213" s="62" t="s">
        <v>431</v>
      </c>
      <c r="G213" s="37">
        <v>3231587.1980465795</v>
      </c>
      <c r="H213" s="86">
        <v>38201</v>
      </c>
      <c r="I213" s="39"/>
      <c r="J213" s="38">
        <v>28917</v>
      </c>
      <c r="K213" s="25">
        <f t="shared" si="13"/>
        <v>-79.174999999999997</v>
      </c>
      <c r="L213" s="25">
        <f t="shared" si="14"/>
        <v>-104.58888888888889</v>
      </c>
      <c r="M213" s="40" t="s">
        <v>34</v>
      </c>
      <c r="N213" s="124" t="str">
        <f t="shared" si="15"/>
        <v>TERMINO INDEFINIDO NUEVO</v>
      </c>
      <c r="O213" s="125">
        <v>70702</v>
      </c>
      <c r="P213" s="42">
        <v>3</v>
      </c>
      <c r="Q213" s="35" t="s">
        <v>30</v>
      </c>
      <c r="R213" s="35">
        <v>2</v>
      </c>
      <c r="S213" s="121">
        <v>3</v>
      </c>
      <c r="T213" s="42">
        <v>5</v>
      </c>
    </row>
    <row r="214" spans="1:20">
      <c r="A214" s="36" t="s">
        <v>264</v>
      </c>
      <c r="B214" s="71">
        <v>80901115</v>
      </c>
      <c r="C214" s="36" t="s">
        <v>432</v>
      </c>
      <c r="D214" s="36" t="s">
        <v>267</v>
      </c>
      <c r="E214" s="62" t="s">
        <v>299</v>
      </c>
      <c r="F214" s="62"/>
      <c r="G214" s="37">
        <v>3231587.1980465795</v>
      </c>
      <c r="H214" s="86">
        <v>39121</v>
      </c>
      <c r="I214" s="39"/>
      <c r="J214" s="38">
        <v>31070</v>
      </c>
      <c r="K214" s="25">
        <f t="shared" si="13"/>
        <v>-85.063888888888883</v>
      </c>
      <c r="L214" s="25">
        <f t="shared" si="14"/>
        <v>-107.10555555555555</v>
      </c>
      <c r="M214" s="40" t="s">
        <v>34</v>
      </c>
      <c r="N214" s="124" t="str">
        <f t="shared" si="15"/>
        <v>TERMINO INDEFINIDO NUEVO</v>
      </c>
      <c r="O214" s="125">
        <v>704</v>
      </c>
      <c r="P214" s="42">
        <v>3</v>
      </c>
      <c r="Q214" s="35" t="s">
        <v>30</v>
      </c>
      <c r="R214" s="35">
        <v>2</v>
      </c>
      <c r="S214" s="121">
        <v>3</v>
      </c>
      <c r="T214" s="42">
        <v>5</v>
      </c>
    </row>
    <row r="215" spans="1:20">
      <c r="A215" s="25" t="s">
        <v>264</v>
      </c>
      <c r="B215" s="25"/>
      <c r="C215" s="25" t="s">
        <v>133</v>
      </c>
      <c r="D215" s="25" t="s">
        <v>267</v>
      </c>
      <c r="E215" s="25" t="s">
        <v>299</v>
      </c>
      <c r="F215" s="25" t="s">
        <v>433</v>
      </c>
      <c r="G215" s="26">
        <v>3231586.9520465797</v>
      </c>
      <c r="H215" s="80"/>
      <c r="I215" s="28"/>
      <c r="J215" s="27"/>
      <c r="K215" s="25">
        <f t="shared" si="13"/>
        <v>0</v>
      </c>
      <c r="L215" s="25">
        <f t="shared" si="14"/>
        <v>0</v>
      </c>
      <c r="M215" s="29">
        <v>91</v>
      </c>
      <c r="N215" s="57" t="str">
        <f t="shared" si="15"/>
        <v>OTRO</v>
      </c>
      <c r="O215" s="58">
        <v>70702</v>
      </c>
      <c r="P215" s="32"/>
      <c r="Q215" s="29"/>
      <c r="R215" s="29"/>
      <c r="S215" s="122"/>
      <c r="T215" s="32"/>
    </row>
    <row r="216" spans="1:20">
      <c r="A216" s="25" t="s">
        <v>264</v>
      </c>
      <c r="B216" s="54"/>
      <c r="C216" s="25" t="s">
        <v>133</v>
      </c>
      <c r="D216" s="25" t="s">
        <v>267</v>
      </c>
      <c r="E216" s="25" t="s">
        <v>299</v>
      </c>
      <c r="F216" s="25"/>
      <c r="G216" s="26">
        <v>3231587.3241836703</v>
      </c>
      <c r="H216" s="27"/>
      <c r="I216" s="28"/>
      <c r="J216" s="27"/>
      <c r="K216" s="25">
        <f t="shared" si="13"/>
        <v>0</v>
      </c>
      <c r="L216" s="25">
        <f t="shared" si="14"/>
        <v>0</v>
      </c>
      <c r="M216" s="73">
        <v>91</v>
      </c>
      <c r="N216" s="30" t="str">
        <f t="shared" si="15"/>
        <v>OTRO</v>
      </c>
      <c r="O216" s="29">
        <v>70704</v>
      </c>
      <c r="P216" s="29"/>
      <c r="Q216" s="29"/>
      <c r="R216" s="29"/>
      <c r="S216" s="31"/>
      <c r="T216" s="32"/>
    </row>
    <row r="217" spans="1:20">
      <c r="A217" s="25" t="s">
        <v>264</v>
      </c>
      <c r="B217" s="54" t="s">
        <v>434</v>
      </c>
      <c r="C217" s="25" t="s">
        <v>435</v>
      </c>
      <c r="D217" s="25" t="s">
        <v>267</v>
      </c>
      <c r="E217" s="25" t="s">
        <v>299</v>
      </c>
      <c r="F217" s="25" t="s">
        <v>436</v>
      </c>
      <c r="G217" s="26">
        <v>3231586.9520465797</v>
      </c>
      <c r="H217" s="27">
        <v>36907</v>
      </c>
      <c r="I217" s="28"/>
      <c r="J217" s="27">
        <v>26168</v>
      </c>
      <c r="K217" s="25">
        <f>(DAYS360(J217,$K$1))/360</f>
        <v>-71.647222222222226</v>
      </c>
      <c r="L217" s="25">
        <f>(DAYS360(H217,$K$1))/360</f>
        <v>-101.04444444444445</v>
      </c>
      <c r="M217" s="29">
        <v>2</v>
      </c>
      <c r="N217" s="76" t="str">
        <f t="shared" si="15"/>
        <v>TERMINO INDEFINIDO</v>
      </c>
      <c r="O217" s="32">
        <v>133</v>
      </c>
      <c r="P217" s="32">
        <v>3</v>
      </c>
      <c r="Q217" s="29" t="s">
        <v>30</v>
      </c>
      <c r="R217" s="29">
        <v>2</v>
      </c>
      <c r="S217" s="59">
        <v>3</v>
      </c>
      <c r="T217" s="32">
        <v>5</v>
      </c>
    </row>
    <row r="218" spans="1:20">
      <c r="A218" s="25" t="s">
        <v>264</v>
      </c>
      <c r="B218" s="54" t="s">
        <v>437</v>
      </c>
      <c r="C218" s="25" t="s">
        <v>438</v>
      </c>
      <c r="D218" s="25" t="s">
        <v>267</v>
      </c>
      <c r="E218" s="25" t="s">
        <v>299</v>
      </c>
      <c r="F218" s="25" t="s">
        <v>439</v>
      </c>
      <c r="G218" s="26">
        <v>3661249.9185000001</v>
      </c>
      <c r="H218" s="27">
        <v>32343</v>
      </c>
      <c r="I218" s="28"/>
      <c r="J218" s="27">
        <v>24974</v>
      </c>
      <c r="K218" s="25">
        <f>(DAYS360(J218,$K$1))/360</f>
        <v>-68.37777777777778</v>
      </c>
      <c r="L218" s="25">
        <f>(DAYS360(H218,$K$1))/360</f>
        <v>-88.552777777777777</v>
      </c>
      <c r="M218" s="29">
        <v>2</v>
      </c>
      <c r="N218" s="76" t="str">
        <f t="shared" si="15"/>
        <v>TERMINO INDEFINIDO</v>
      </c>
      <c r="O218" s="32">
        <v>183</v>
      </c>
      <c r="P218" s="32">
        <v>3</v>
      </c>
      <c r="Q218" s="29" t="s">
        <v>30</v>
      </c>
      <c r="R218" s="29">
        <v>2</v>
      </c>
      <c r="S218" s="31">
        <v>3</v>
      </c>
      <c r="T218" s="32">
        <v>7</v>
      </c>
    </row>
    <row r="219" spans="1:20">
      <c r="A219" s="36" t="s">
        <v>264</v>
      </c>
      <c r="B219" s="71">
        <v>12752880</v>
      </c>
      <c r="C219" s="36" t="s">
        <v>440</v>
      </c>
      <c r="D219" s="36" t="s">
        <v>441</v>
      </c>
      <c r="E219" s="62" t="s">
        <v>299</v>
      </c>
      <c r="F219" s="62"/>
      <c r="G219" s="37">
        <v>3231587.1980465795</v>
      </c>
      <c r="H219" s="86">
        <v>40196</v>
      </c>
      <c r="I219" s="39"/>
      <c r="J219" s="38">
        <v>30201</v>
      </c>
      <c r="K219" s="36">
        <f t="shared" si="13"/>
        <v>-82.686111111111117</v>
      </c>
      <c r="L219" s="36">
        <f t="shared" si="14"/>
        <v>-110.05</v>
      </c>
      <c r="M219" s="40" t="s">
        <v>34</v>
      </c>
      <c r="N219" s="124" t="str">
        <f t="shared" si="15"/>
        <v>TERMINO INDEFINIDO NUEVO</v>
      </c>
      <c r="O219" s="125">
        <v>70702</v>
      </c>
      <c r="P219" s="42">
        <v>3</v>
      </c>
      <c r="Q219" s="35" t="s">
        <v>30</v>
      </c>
      <c r="R219" s="35">
        <v>2</v>
      </c>
      <c r="S219" s="121">
        <v>3</v>
      </c>
      <c r="T219" s="42">
        <v>5</v>
      </c>
    </row>
    <row r="220" spans="1:20">
      <c r="A220" s="72" t="s">
        <v>56</v>
      </c>
      <c r="B220" s="54" t="s">
        <v>442</v>
      </c>
      <c r="C220" s="25" t="s">
        <v>443</v>
      </c>
      <c r="D220" s="25" t="s">
        <v>267</v>
      </c>
      <c r="E220" s="25" t="s">
        <v>299</v>
      </c>
      <c r="F220" s="25" t="s">
        <v>444</v>
      </c>
      <c r="G220" s="26">
        <v>3231586.9520465797</v>
      </c>
      <c r="H220" s="27">
        <v>36404</v>
      </c>
      <c r="I220" s="28"/>
      <c r="J220" s="27">
        <v>23872</v>
      </c>
      <c r="K220" s="25">
        <f t="shared" si="13"/>
        <v>-65.361111111111114</v>
      </c>
      <c r="L220" s="55">
        <f t="shared" si="14"/>
        <v>-99.669444444444451</v>
      </c>
      <c r="M220" s="29">
        <v>2</v>
      </c>
      <c r="N220" s="30" t="str">
        <f t="shared" si="15"/>
        <v>TERMINO INDEFINIDO</v>
      </c>
      <c r="O220" s="29">
        <v>605</v>
      </c>
      <c r="P220" s="32">
        <v>5</v>
      </c>
      <c r="Q220" s="29" t="s">
        <v>30</v>
      </c>
      <c r="R220" s="29">
        <v>2</v>
      </c>
      <c r="S220" s="59">
        <v>3</v>
      </c>
      <c r="T220" s="32">
        <v>5</v>
      </c>
    </row>
    <row r="221" spans="1:20">
      <c r="A221" s="25" t="s">
        <v>264</v>
      </c>
      <c r="B221" s="54" t="s">
        <v>445</v>
      </c>
      <c r="C221" s="25" t="s">
        <v>446</v>
      </c>
      <c r="D221" s="25" t="s">
        <v>267</v>
      </c>
      <c r="E221" s="25" t="s">
        <v>299</v>
      </c>
      <c r="F221" s="25"/>
      <c r="G221" s="26">
        <v>3231587.1980465795</v>
      </c>
      <c r="H221" s="80">
        <v>36235</v>
      </c>
      <c r="I221" s="28"/>
      <c r="J221" s="27">
        <v>23989</v>
      </c>
      <c r="K221" s="25">
        <f t="shared" si="13"/>
        <v>-65.677777777777777</v>
      </c>
      <c r="L221" s="25">
        <f t="shared" si="14"/>
        <v>-99.211111111111109</v>
      </c>
      <c r="M221" s="29">
        <v>2</v>
      </c>
      <c r="N221" s="57" t="str">
        <f t="shared" si="15"/>
        <v>TERMINO INDEFINIDO</v>
      </c>
      <c r="O221" s="58">
        <v>70704</v>
      </c>
      <c r="P221" s="32">
        <v>3</v>
      </c>
      <c r="Q221" s="29" t="s">
        <v>30</v>
      </c>
      <c r="R221" s="29">
        <v>2</v>
      </c>
      <c r="S221" s="140">
        <v>6</v>
      </c>
      <c r="T221" s="32">
        <v>5</v>
      </c>
    </row>
    <row r="222" spans="1:20">
      <c r="A222" s="25" t="s">
        <v>264</v>
      </c>
      <c r="B222" s="54"/>
      <c r="C222" s="25" t="s">
        <v>133</v>
      </c>
      <c r="D222" s="25" t="s">
        <v>267</v>
      </c>
      <c r="E222" s="25" t="s">
        <v>299</v>
      </c>
      <c r="F222" s="25"/>
      <c r="G222" s="26">
        <v>3231587.1980465795</v>
      </c>
      <c r="H222" s="80"/>
      <c r="I222" s="28"/>
      <c r="J222" s="27"/>
      <c r="K222" s="25">
        <f t="shared" si="13"/>
        <v>0</v>
      </c>
      <c r="L222" s="25">
        <f t="shared" si="14"/>
        <v>0</v>
      </c>
      <c r="M222" s="29">
        <v>91</v>
      </c>
      <c r="N222" s="57" t="str">
        <f t="shared" si="15"/>
        <v>OTRO</v>
      </c>
      <c r="O222" s="58">
        <v>70702</v>
      </c>
      <c r="P222" s="32"/>
      <c r="Q222" s="29"/>
      <c r="R222" s="29"/>
      <c r="S222" s="122"/>
      <c r="T222" s="32"/>
    </row>
    <row r="223" spans="1:20">
      <c r="A223" s="25" t="s">
        <v>264</v>
      </c>
      <c r="B223" s="54" t="s">
        <v>447</v>
      </c>
      <c r="C223" s="25" t="s">
        <v>448</v>
      </c>
      <c r="D223" s="25" t="s">
        <v>267</v>
      </c>
      <c r="E223" s="25" t="s">
        <v>299</v>
      </c>
      <c r="F223" s="25"/>
      <c r="G223" s="26">
        <v>3231587.1980465795</v>
      </c>
      <c r="H223" s="80">
        <v>35471</v>
      </c>
      <c r="I223" s="28"/>
      <c r="J223" s="27">
        <v>28524</v>
      </c>
      <c r="K223" s="25">
        <f t="shared" si="13"/>
        <v>-78.091666666666669</v>
      </c>
      <c r="L223" s="25">
        <f t="shared" si="14"/>
        <v>-97.111111111111114</v>
      </c>
      <c r="M223" s="29">
        <v>2</v>
      </c>
      <c r="N223" s="57" t="str">
        <f t="shared" si="15"/>
        <v>TERMINO INDEFINIDO</v>
      </c>
      <c r="O223" s="58">
        <v>507</v>
      </c>
      <c r="P223" s="32">
        <v>5</v>
      </c>
      <c r="Q223" s="29" t="s">
        <v>30</v>
      </c>
      <c r="R223" s="29">
        <v>2</v>
      </c>
      <c r="S223" s="122">
        <v>3</v>
      </c>
      <c r="T223" s="32">
        <v>5</v>
      </c>
    </row>
    <row r="224" spans="1:20">
      <c r="A224" s="25" t="s">
        <v>264</v>
      </c>
      <c r="B224" s="54" t="s">
        <v>449</v>
      </c>
      <c r="C224" s="25" t="s">
        <v>450</v>
      </c>
      <c r="D224" s="25" t="s">
        <v>267</v>
      </c>
      <c r="E224" s="25" t="s">
        <v>299</v>
      </c>
      <c r="F224" s="25"/>
      <c r="G224" s="26">
        <v>3231587.1980465795</v>
      </c>
      <c r="H224" s="85">
        <v>36606</v>
      </c>
      <c r="I224" s="82"/>
      <c r="J224" s="27">
        <v>27379</v>
      </c>
      <c r="K224" s="25">
        <f t="shared" si="13"/>
        <v>-74.961111111111109</v>
      </c>
      <c r="L224" s="25">
        <f t="shared" si="14"/>
        <v>-100.22499999999999</v>
      </c>
      <c r="M224" s="29">
        <v>2</v>
      </c>
      <c r="N224" s="76" t="str">
        <f t="shared" si="15"/>
        <v>TERMINO INDEFINIDO</v>
      </c>
      <c r="O224" s="32">
        <v>70704</v>
      </c>
      <c r="P224" s="32">
        <v>3</v>
      </c>
      <c r="Q224" s="29" t="s">
        <v>30</v>
      </c>
      <c r="R224" s="29">
        <v>2</v>
      </c>
      <c r="S224" s="141">
        <v>3</v>
      </c>
      <c r="T224" s="32">
        <v>5</v>
      </c>
    </row>
    <row r="225" spans="1:20">
      <c r="A225" s="25" t="s">
        <v>158</v>
      </c>
      <c r="B225" s="54">
        <v>1193205406</v>
      </c>
      <c r="C225" s="25" t="s">
        <v>451</v>
      </c>
      <c r="D225" s="25" t="s">
        <v>270</v>
      </c>
      <c r="E225" s="25" t="s">
        <v>299</v>
      </c>
      <c r="F225" s="25" t="s">
        <v>452</v>
      </c>
      <c r="G225" s="26">
        <v>2527665.9038999998</v>
      </c>
      <c r="H225" s="80">
        <v>46072</v>
      </c>
      <c r="I225" s="28">
        <v>46295</v>
      </c>
      <c r="J225" s="27">
        <v>37829</v>
      </c>
      <c r="K225" s="25">
        <f t="shared" si="13"/>
        <v>-103.575</v>
      </c>
      <c r="L225" s="25">
        <f t="shared" si="14"/>
        <v>-126.13611111111111</v>
      </c>
      <c r="M225" s="73">
        <v>1</v>
      </c>
      <c r="N225" s="57" t="str">
        <f t="shared" si="15"/>
        <v>TERMINO FIJO</v>
      </c>
      <c r="O225" s="58">
        <v>20402</v>
      </c>
      <c r="P225" s="32">
        <v>4</v>
      </c>
      <c r="Q225" s="29" t="s">
        <v>30</v>
      </c>
      <c r="R225" s="29">
        <v>1</v>
      </c>
      <c r="S225" s="122">
        <v>4</v>
      </c>
      <c r="T225" s="32">
        <v>6</v>
      </c>
    </row>
    <row r="226" spans="1:20">
      <c r="A226" s="25" t="s">
        <v>453</v>
      </c>
      <c r="B226" s="54"/>
      <c r="C226" s="25" t="s">
        <v>133</v>
      </c>
      <c r="D226" s="25" t="s">
        <v>454</v>
      </c>
      <c r="E226" s="25" t="s">
        <v>299</v>
      </c>
      <c r="F226" s="25"/>
      <c r="G226" s="26">
        <v>2786076.51623723</v>
      </c>
      <c r="H226" s="80"/>
      <c r="I226" s="28"/>
      <c r="J226" s="27"/>
      <c r="K226" s="25">
        <f t="shared" si="13"/>
        <v>0</v>
      </c>
      <c r="L226" s="25">
        <f t="shared" si="14"/>
        <v>0</v>
      </c>
      <c r="M226" s="29">
        <v>91</v>
      </c>
      <c r="N226" s="57" t="str">
        <f t="shared" si="15"/>
        <v>OTRO</v>
      </c>
      <c r="O226" s="58">
        <v>504</v>
      </c>
      <c r="P226" s="32"/>
      <c r="Q226" s="29"/>
      <c r="R226" s="29"/>
      <c r="S226" s="122"/>
      <c r="T226" s="32"/>
    </row>
    <row r="227" spans="1:20">
      <c r="A227" s="24" t="s">
        <v>86</v>
      </c>
      <c r="B227" s="54">
        <v>36755424</v>
      </c>
      <c r="C227" s="25" t="s">
        <v>455</v>
      </c>
      <c r="D227" s="25" t="s">
        <v>456</v>
      </c>
      <c r="E227" s="25" t="s">
        <v>457</v>
      </c>
      <c r="F227" s="25"/>
      <c r="G227" s="26">
        <v>30903295</v>
      </c>
      <c r="H227" s="27">
        <v>45428</v>
      </c>
      <c r="I227" s="28"/>
      <c r="J227" s="27">
        <v>29646</v>
      </c>
      <c r="K227" s="25">
        <f>(DAYS360(J227,$K$1))/360</f>
        <v>-81.169444444444451</v>
      </c>
      <c r="L227" s="25">
        <f>(DAYS360(H227,$K$1))/360</f>
        <v>-124.37777777777778</v>
      </c>
      <c r="M227" s="29">
        <v>3</v>
      </c>
      <c r="N227" s="30" t="str">
        <f t="shared" si="15"/>
        <v>SALARIO INTEGRAL</v>
      </c>
      <c r="O227" s="29">
        <v>502</v>
      </c>
      <c r="P227" s="29">
        <v>4</v>
      </c>
      <c r="Q227" s="29" t="s">
        <v>35</v>
      </c>
      <c r="R227" s="29">
        <v>1</v>
      </c>
      <c r="S227" s="91">
        <v>6</v>
      </c>
      <c r="T227" s="32">
        <v>1</v>
      </c>
    </row>
    <row r="228" spans="1:20">
      <c r="A228" s="36" t="s">
        <v>62</v>
      </c>
      <c r="B228" s="34">
        <v>27442330</v>
      </c>
      <c r="C228" s="36" t="s">
        <v>458</v>
      </c>
      <c r="D228" s="36" t="s">
        <v>64</v>
      </c>
      <c r="E228" s="36" t="s">
        <v>457</v>
      </c>
      <c r="F228" s="36"/>
      <c r="G228" s="37">
        <v>4170488.7632972561</v>
      </c>
      <c r="H228" s="38">
        <v>39619</v>
      </c>
      <c r="I228" s="39"/>
      <c r="J228" s="38">
        <v>21858</v>
      </c>
      <c r="K228" s="36">
        <f>(DAYS360(J228,$K$1))/360</f>
        <v>-59.844444444444441</v>
      </c>
      <c r="L228" s="36">
        <f>(DAYS360(H228,$K$1))/360</f>
        <v>-108.47222222222223</v>
      </c>
      <c r="M228" s="40" t="s">
        <v>34</v>
      </c>
      <c r="N228" s="34" t="str">
        <f t="shared" si="15"/>
        <v>TERMINO INDEFINIDO NUEVO</v>
      </c>
      <c r="O228" s="35">
        <v>502</v>
      </c>
      <c r="P228" s="35">
        <v>5</v>
      </c>
      <c r="Q228" s="35" t="s">
        <v>35</v>
      </c>
      <c r="R228" s="35">
        <v>1</v>
      </c>
      <c r="S228" s="43">
        <v>4</v>
      </c>
      <c r="T228" s="42">
        <v>6</v>
      </c>
    </row>
    <row r="229" spans="1:20">
      <c r="A229" s="25" t="s">
        <v>45</v>
      </c>
      <c r="B229" s="54" t="s">
        <v>459</v>
      </c>
      <c r="C229" s="25" t="s">
        <v>460</v>
      </c>
      <c r="D229" s="25" t="s">
        <v>48</v>
      </c>
      <c r="E229" s="25" t="s">
        <v>457</v>
      </c>
      <c r="F229" s="25" t="s">
        <v>461</v>
      </c>
      <c r="G229" s="26">
        <v>6967259.7986902911</v>
      </c>
      <c r="H229" s="27">
        <v>31594</v>
      </c>
      <c r="I229" s="28"/>
      <c r="J229" s="27">
        <v>22836</v>
      </c>
      <c r="K229" s="25">
        <f>(DAYS360(J229,$K$1))/360</f>
        <v>-62.524999999999999</v>
      </c>
      <c r="L229" s="25">
        <f>(DAYS360(H229,$K$1))/360</f>
        <v>-86.50277777777778</v>
      </c>
      <c r="M229" s="29">
        <v>2</v>
      </c>
      <c r="N229" s="57" t="str">
        <f>IF(M229=3,"SALARIO INTEGRAL",IF(M229=2,"TERMINO INDEFINIDO",IF(M229=1,"TERMINO FIJO",IF(M229="2_N","TERMINO INDEFINIDO NUEVO","OTRO"))))</f>
        <v>TERMINO INDEFINIDO</v>
      </c>
      <c r="O229" s="58">
        <v>604</v>
      </c>
      <c r="P229" s="32">
        <v>5</v>
      </c>
      <c r="Q229" s="29" t="s">
        <v>30</v>
      </c>
      <c r="R229" s="29">
        <v>1</v>
      </c>
      <c r="S229" s="59">
        <v>5</v>
      </c>
      <c r="T229" s="32">
        <v>4</v>
      </c>
    </row>
    <row r="230" spans="1:20">
      <c r="A230" s="25" t="s">
        <v>162</v>
      </c>
      <c r="B230" s="25" t="s">
        <v>462</v>
      </c>
      <c r="C230" s="25" t="s">
        <v>463</v>
      </c>
      <c r="D230" s="25" t="s">
        <v>165</v>
      </c>
      <c r="E230" s="25" t="s">
        <v>464</v>
      </c>
      <c r="F230" s="25"/>
      <c r="G230" s="26">
        <v>25016832</v>
      </c>
      <c r="H230" s="90">
        <v>35432</v>
      </c>
      <c r="I230" s="28"/>
      <c r="J230" s="27">
        <v>26904</v>
      </c>
      <c r="K230" s="25">
        <f>(DAYS360(J230,$K$1))/360</f>
        <v>-73.661111111111111</v>
      </c>
      <c r="L230" s="25">
        <f>(DAYS360(H230,$K$1))/360</f>
        <v>-97.00555555555556</v>
      </c>
      <c r="M230" s="29">
        <v>3</v>
      </c>
      <c r="N230" s="30" t="str">
        <f t="shared" si="15"/>
        <v>SALARIO INTEGRAL</v>
      </c>
      <c r="O230" s="29">
        <v>50601</v>
      </c>
      <c r="P230" s="29">
        <v>4</v>
      </c>
      <c r="Q230" s="29" t="s">
        <v>35</v>
      </c>
      <c r="R230" s="29">
        <v>1</v>
      </c>
      <c r="S230" s="31">
        <v>6</v>
      </c>
      <c r="T230" s="32">
        <v>3</v>
      </c>
    </row>
    <row r="231" spans="1:20">
      <c r="A231" s="36" t="s">
        <v>45</v>
      </c>
      <c r="B231" s="71">
        <v>13068738</v>
      </c>
      <c r="C231" s="36" t="s">
        <v>465</v>
      </c>
      <c r="D231" s="36" t="s">
        <v>75</v>
      </c>
      <c r="E231" s="36" t="s">
        <v>464</v>
      </c>
      <c r="F231" s="36"/>
      <c r="G231" s="37">
        <v>6967259.7986902911</v>
      </c>
      <c r="H231" s="38">
        <v>43895</v>
      </c>
      <c r="I231" s="39"/>
      <c r="J231" s="38">
        <v>29446</v>
      </c>
      <c r="K231" s="36">
        <f t="shared" ref="K231:K238" si="16">(DAYS360(J231,$K$1))/360</f>
        <v>-80.61944444444444</v>
      </c>
      <c r="L231" s="36">
        <f t="shared" ref="L231:L238" si="17">(DAYS360(H231,$K$1))/360</f>
        <v>-120.18055555555556</v>
      </c>
      <c r="M231" s="40" t="s">
        <v>34</v>
      </c>
      <c r="N231" s="34" t="str">
        <f t="shared" si="15"/>
        <v>TERMINO INDEFINIDO NUEVO</v>
      </c>
      <c r="O231" s="35">
        <v>50601</v>
      </c>
      <c r="P231" s="35">
        <v>5</v>
      </c>
      <c r="Q231" s="35" t="s">
        <v>30</v>
      </c>
      <c r="R231" s="35">
        <v>1</v>
      </c>
      <c r="S231" s="43">
        <v>5</v>
      </c>
      <c r="T231" s="42">
        <v>4</v>
      </c>
    </row>
    <row r="232" spans="1:20">
      <c r="A232" s="25" t="s">
        <v>45</v>
      </c>
      <c r="B232" s="25" t="s">
        <v>466</v>
      </c>
      <c r="C232" s="25" t="s">
        <v>467</v>
      </c>
      <c r="D232" s="25" t="s">
        <v>48</v>
      </c>
      <c r="E232" s="25" t="s">
        <v>464</v>
      </c>
      <c r="F232" s="25" t="s">
        <v>468</v>
      </c>
      <c r="G232" s="26">
        <v>6967259.1464534989</v>
      </c>
      <c r="H232" s="27">
        <v>33254</v>
      </c>
      <c r="I232" s="28"/>
      <c r="J232" s="27">
        <v>24953</v>
      </c>
      <c r="K232" s="25">
        <f>(DAYS360(J232,$K$1))/360</f>
        <v>-68.319444444444443</v>
      </c>
      <c r="L232" s="25">
        <f>(DAYS360(H232,$K$1))/360</f>
        <v>-91.044444444444451</v>
      </c>
      <c r="M232" s="73">
        <v>2</v>
      </c>
      <c r="N232" s="30" t="str">
        <f>IF(M232=3,"SALARIO INTEGRAL",IF(M232=2,"TERMINO INDEFINIDO",IF(M232=1,"TERMINO FIJO",IF(M232="2_N","TERMINO INDEFINIDO NUEVO","OTRO"))))</f>
        <v>TERMINO INDEFINIDO</v>
      </c>
      <c r="O232" s="29">
        <v>604</v>
      </c>
      <c r="P232" s="29">
        <v>5</v>
      </c>
      <c r="Q232" s="29" t="s">
        <v>30</v>
      </c>
      <c r="R232" s="142">
        <v>1</v>
      </c>
      <c r="S232" s="29">
        <v>5</v>
      </c>
      <c r="T232" s="32">
        <v>4</v>
      </c>
    </row>
    <row r="233" spans="1:20">
      <c r="A233" s="115" t="s">
        <v>185</v>
      </c>
      <c r="B233" s="143" t="s">
        <v>469</v>
      </c>
      <c r="C233" s="115" t="s">
        <v>470</v>
      </c>
      <c r="D233" s="115" t="s">
        <v>191</v>
      </c>
      <c r="E233" s="25" t="s">
        <v>464</v>
      </c>
      <c r="F233" s="115" t="s">
        <v>471</v>
      </c>
      <c r="G233" s="116">
        <v>6063366.101405181</v>
      </c>
      <c r="H233" s="144">
        <v>36175</v>
      </c>
      <c r="I233" s="145"/>
      <c r="J233" s="144">
        <v>26379</v>
      </c>
      <c r="K233" s="115">
        <f t="shared" si="16"/>
        <v>-72.224999999999994</v>
      </c>
      <c r="L233" s="146">
        <f t="shared" si="17"/>
        <v>-99.041666666666671</v>
      </c>
      <c r="M233" s="147">
        <v>2</v>
      </c>
      <c r="N233" s="148" t="str">
        <f t="shared" si="15"/>
        <v>TERMINO INDEFINIDO</v>
      </c>
      <c r="O233" s="149">
        <v>50502</v>
      </c>
      <c r="P233" s="149">
        <v>5</v>
      </c>
      <c r="Q233" s="149" t="s">
        <v>35</v>
      </c>
      <c r="R233" s="149">
        <v>1</v>
      </c>
      <c r="S233" s="4">
        <v>3</v>
      </c>
      <c r="T233" s="150">
        <v>6</v>
      </c>
    </row>
    <row r="234" spans="1:20" ht="42">
      <c r="A234" s="44" t="s">
        <v>185</v>
      </c>
      <c r="B234" s="112" t="s">
        <v>472</v>
      </c>
      <c r="C234" s="112" t="s">
        <v>473</v>
      </c>
      <c r="D234" s="44" t="s">
        <v>188</v>
      </c>
      <c r="E234" s="44" t="s">
        <v>464</v>
      </c>
      <c r="F234" s="44"/>
      <c r="G234" s="46">
        <v>6063366.1799999997</v>
      </c>
      <c r="H234" s="47">
        <v>45908</v>
      </c>
      <c r="I234" s="48"/>
      <c r="J234" s="47">
        <v>38900</v>
      </c>
      <c r="K234" s="44">
        <f t="shared" si="16"/>
        <v>-106.50555555555556</v>
      </c>
      <c r="L234" s="151">
        <f t="shared" si="17"/>
        <v>-125.68888888888888</v>
      </c>
      <c r="M234" s="49" t="s">
        <v>34</v>
      </c>
      <c r="N234" s="50" t="str">
        <f t="shared" si="15"/>
        <v>TERMINO INDEFINIDO NUEVO</v>
      </c>
      <c r="O234" s="51">
        <v>505001</v>
      </c>
      <c r="P234" s="51">
        <v>5</v>
      </c>
      <c r="Q234" s="51" t="s">
        <v>30</v>
      </c>
      <c r="R234" s="51">
        <v>1</v>
      </c>
      <c r="S234" s="52">
        <v>2</v>
      </c>
      <c r="T234" s="53">
        <v>4</v>
      </c>
    </row>
    <row r="235" spans="1:20">
      <c r="A235" s="36" t="s">
        <v>36</v>
      </c>
      <c r="B235" s="71">
        <v>98387284</v>
      </c>
      <c r="C235" s="36" t="s">
        <v>474</v>
      </c>
      <c r="D235" s="36" t="s">
        <v>61</v>
      </c>
      <c r="E235" s="36" t="s">
        <v>464</v>
      </c>
      <c r="F235" s="36"/>
      <c r="G235" s="37">
        <v>3707010.1428459757</v>
      </c>
      <c r="H235" s="38">
        <v>38146</v>
      </c>
      <c r="I235" s="39"/>
      <c r="J235" s="38">
        <v>27124</v>
      </c>
      <c r="K235" s="36">
        <f t="shared" si="16"/>
        <v>-74.263888888888886</v>
      </c>
      <c r="L235" s="36">
        <f t="shared" si="17"/>
        <v>-104.43888888888888</v>
      </c>
      <c r="M235" s="40" t="s">
        <v>34</v>
      </c>
      <c r="N235" s="124" t="str">
        <f t="shared" si="15"/>
        <v>TERMINO INDEFINIDO NUEVO</v>
      </c>
      <c r="O235" s="125">
        <v>50601</v>
      </c>
      <c r="P235" s="42">
        <v>5</v>
      </c>
      <c r="Q235" s="35" t="s">
        <v>30</v>
      </c>
      <c r="R235" s="35">
        <v>1</v>
      </c>
      <c r="S235" s="94">
        <v>4</v>
      </c>
      <c r="T235" s="42">
        <v>6</v>
      </c>
    </row>
    <row r="236" spans="1:20">
      <c r="A236" s="36" t="s">
        <v>36</v>
      </c>
      <c r="B236" s="34">
        <v>87065369</v>
      </c>
      <c r="C236" s="35" t="s">
        <v>475</v>
      </c>
      <c r="D236" s="36" t="s">
        <v>61</v>
      </c>
      <c r="E236" s="36" t="s">
        <v>464</v>
      </c>
      <c r="F236" s="36"/>
      <c r="G236" s="37">
        <v>3707008.6419045185</v>
      </c>
      <c r="H236" s="38">
        <v>42065</v>
      </c>
      <c r="I236" s="39"/>
      <c r="J236" s="38">
        <v>30882</v>
      </c>
      <c r="K236" s="36">
        <f t="shared" si="16"/>
        <v>-84.552777777777777</v>
      </c>
      <c r="L236" s="36">
        <f t="shared" si="17"/>
        <v>-115.17222222222222</v>
      </c>
      <c r="M236" s="40" t="s">
        <v>34</v>
      </c>
      <c r="N236" s="41" t="str">
        <f t="shared" si="15"/>
        <v>TERMINO INDEFINIDO NUEVO</v>
      </c>
      <c r="O236" s="42">
        <v>310</v>
      </c>
      <c r="P236" s="42">
        <v>4</v>
      </c>
      <c r="Q236" s="35" t="s">
        <v>30</v>
      </c>
      <c r="R236" s="35">
        <v>1</v>
      </c>
      <c r="S236" s="43">
        <v>5</v>
      </c>
      <c r="T236" s="42">
        <v>6</v>
      </c>
    </row>
    <row r="237" spans="1:20">
      <c r="A237" s="25" t="s">
        <v>115</v>
      </c>
      <c r="B237" s="54">
        <v>1086755190</v>
      </c>
      <c r="C237" s="25" t="s">
        <v>476</v>
      </c>
      <c r="D237" s="25" t="s">
        <v>61</v>
      </c>
      <c r="E237" s="25" t="s">
        <v>108</v>
      </c>
      <c r="F237" s="25" t="s">
        <v>477</v>
      </c>
      <c r="G237" s="26">
        <v>3707010</v>
      </c>
      <c r="H237" s="27">
        <v>44692</v>
      </c>
      <c r="I237" s="28">
        <v>46387</v>
      </c>
      <c r="J237" s="27">
        <v>33352</v>
      </c>
      <c r="K237" s="25">
        <f>(DAYS360(J237,$K$1))/360</f>
        <v>-91.316666666666663</v>
      </c>
      <c r="L237" s="25">
        <f>(DAYS360(H237,$K$1))/360</f>
        <v>-122.36388888888889</v>
      </c>
      <c r="M237" s="29">
        <v>1</v>
      </c>
      <c r="N237" s="30" t="str">
        <f>IF(M237=3,"SALARIO INTEGRAL",IF(M237=2,"TERMINO INDEFINIDO",IF(M237=1,"TERMINO FIJO",IF(M237="2_N","TERMINO INDEFINIDO NUEVO","OTRO"))))</f>
        <v>TERMINO FIJO</v>
      </c>
      <c r="O237" s="29">
        <v>50601</v>
      </c>
      <c r="P237" s="29">
        <v>4</v>
      </c>
      <c r="Q237" s="29" t="s">
        <v>35</v>
      </c>
      <c r="R237" s="29">
        <v>1</v>
      </c>
      <c r="S237" s="31">
        <v>5</v>
      </c>
      <c r="T237" s="32">
        <v>6</v>
      </c>
    </row>
    <row r="238" spans="1:20">
      <c r="A238" s="25" t="s">
        <v>36</v>
      </c>
      <c r="B238" s="54" t="s">
        <v>478</v>
      </c>
      <c r="C238" s="25" t="s">
        <v>479</v>
      </c>
      <c r="D238" s="25" t="s">
        <v>38</v>
      </c>
      <c r="E238" s="25" t="s">
        <v>464</v>
      </c>
      <c r="F238" s="25"/>
      <c r="G238" s="26">
        <v>3707009.5134529797</v>
      </c>
      <c r="H238" s="27">
        <v>36612</v>
      </c>
      <c r="I238" s="28"/>
      <c r="J238" s="27">
        <v>28440</v>
      </c>
      <c r="K238" s="25">
        <f t="shared" si="16"/>
        <v>-77.863888888888894</v>
      </c>
      <c r="L238" s="25">
        <f t="shared" si="17"/>
        <v>-100.24166666666666</v>
      </c>
      <c r="M238" s="29">
        <v>2</v>
      </c>
      <c r="N238" s="57" t="str">
        <f t="shared" si="15"/>
        <v>TERMINO INDEFINIDO</v>
      </c>
      <c r="O238" s="58">
        <v>50601</v>
      </c>
      <c r="P238" s="32">
        <v>4</v>
      </c>
      <c r="Q238" s="29" t="s">
        <v>35</v>
      </c>
      <c r="R238" s="29">
        <v>1</v>
      </c>
      <c r="S238" s="31">
        <v>5</v>
      </c>
      <c r="T238" s="32">
        <v>6</v>
      </c>
    </row>
    <row r="239" spans="1:20">
      <c r="A239" s="24" t="s">
        <v>153</v>
      </c>
      <c r="B239" s="54">
        <v>1085325679</v>
      </c>
      <c r="C239" s="25" t="s">
        <v>480</v>
      </c>
      <c r="D239" s="25" t="s">
        <v>225</v>
      </c>
      <c r="E239" s="25" t="s">
        <v>464</v>
      </c>
      <c r="F239" s="25"/>
      <c r="G239" s="26">
        <v>3120218.4554910217</v>
      </c>
      <c r="H239" s="27">
        <v>45048</v>
      </c>
      <c r="I239" s="28">
        <v>46387</v>
      </c>
      <c r="J239" s="27">
        <v>35028</v>
      </c>
      <c r="K239" s="25">
        <f>(DAYS360(J239,$K$1))/360</f>
        <v>-95.902777777777771</v>
      </c>
      <c r="L239" s="25">
        <f>(DAYS360(H239,$K$1))/360</f>
        <v>-123.33888888888889</v>
      </c>
      <c r="M239" s="29">
        <v>1</v>
      </c>
      <c r="N239" s="30" t="str">
        <f t="shared" si="15"/>
        <v>TERMINO FIJO</v>
      </c>
      <c r="O239" s="29">
        <v>50601</v>
      </c>
      <c r="P239" s="29">
        <v>4</v>
      </c>
      <c r="Q239" s="29" t="s">
        <v>35</v>
      </c>
      <c r="R239" s="29">
        <v>1</v>
      </c>
      <c r="S239" s="31">
        <v>2</v>
      </c>
      <c r="T239" s="32">
        <v>6</v>
      </c>
    </row>
    <row r="240" spans="1:20">
      <c r="A240" s="25" t="s">
        <v>162</v>
      </c>
      <c r="B240" s="25" t="s">
        <v>481</v>
      </c>
      <c r="C240" s="25" t="s">
        <v>482</v>
      </c>
      <c r="D240" s="25" t="s">
        <v>165</v>
      </c>
      <c r="E240" s="25" t="s">
        <v>483</v>
      </c>
      <c r="F240" s="25"/>
      <c r="G240" s="26">
        <v>25016832</v>
      </c>
      <c r="H240" s="27">
        <v>36348</v>
      </c>
      <c r="I240" s="28"/>
      <c r="J240" s="27">
        <v>27424</v>
      </c>
      <c r="K240" s="25">
        <f>(DAYS360(J240,$K$1))/360</f>
        <v>-75.083333333333329</v>
      </c>
      <c r="L240" s="25">
        <f>(DAYS360(H240,$K$1))/360</f>
        <v>-99.519444444444446</v>
      </c>
      <c r="M240" s="29">
        <v>3</v>
      </c>
      <c r="N240" s="30" t="str">
        <f t="shared" si="15"/>
        <v>SALARIO INTEGRAL</v>
      </c>
      <c r="O240" s="29">
        <v>502</v>
      </c>
      <c r="P240" s="29">
        <v>5</v>
      </c>
      <c r="Q240" s="29" t="s">
        <v>35</v>
      </c>
      <c r="R240" s="29">
        <v>1</v>
      </c>
      <c r="S240" s="31">
        <v>6</v>
      </c>
      <c r="T240" s="32">
        <v>3</v>
      </c>
    </row>
    <row r="241" spans="1:20">
      <c r="A241" s="25" t="s">
        <v>45</v>
      </c>
      <c r="B241" s="25" t="s">
        <v>484</v>
      </c>
      <c r="C241" s="25" t="s">
        <v>485</v>
      </c>
      <c r="D241" s="25" t="s">
        <v>75</v>
      </c>
      <c r="E241" s="25" t="s">
        <v>483</v>
      </c>
      <c r="F241" s="25"/>
      <c r="G241" s="26">
        <v>6967259.7986902911</v>
      </c>
      <c r="H241" s="27">
        <v>35582</v>
      </c>
      <c r="I241" s="28"/>
      <c r="J241" s="27">
        <v>21757</v>
      </c>
      <c r="K241" s="25">
        <f t="shared" ref="K241:K261" si="18">(DAYS360(J241,$K$1))/360</f>
        <v>-59.572222222222223</v>
      </c>
      <c r="L241" s="25">
        <f t="shared" ref="L241:L261" si="19">(DAYS360(H241,$K$1))/360</f>
        <v>-97.419444444444451</v>
      </c>
      <c r="M241" s="29">
        <v>2</v>
      </c>
      <c r="N241" s="57" t="str">
        <f t="shared" si="15"/>
        <v>TERMINO INDEFINIDO</v>
      </c>
      <c r="O241" s="58">
        <v>503</v>
      </c>
      <c r="P241" s="32">
        <v>5</v>
      </c>
      <c r="Q241" s="29" t="s">
        <v>30</v>
      </c>
      <c r="R241" s="29">
        <v>1</v>
      </c>
      <c r="S241" s="59">
        <v>6</v>
      </c>
      <c r="T241" s="32">
        <v>4</v>
      </c>
    </row>
    <row r="242" spans="1:20">
      <c r="A242" s="25" t="s">
        <v>45</v>
      </c>
      <c r="B242" s="54">
        <v>98377902</v>
      </c>
      <c r="C242" s="25" t="s">
        <v>486</v>
      </c>
      <c r="D242" s="25" t="s">
        <v>48</v>
      </c>
      <c r="E242" s="25" t="s">
        <v>483</v>
      </c>
      <c r="F242" s="25" t="s">
        <v>44</v>
      </c>
      <c r="G242" s="26">
        <v>6967259.7986902911</v>
      </c>
      <c r="H242" s="27">
        <v>35431</v>
      </c>
      <c r="I242" s="28"/>
      <c r="J242" s="27">
        <v>25903</v>
      </c>
      <c r="K242" s="25">
        <f t="shared" si="18"/>
        <v>-70.919444444444451</v>
      </c>
      <c r="L242" s="25">
        <f t="shared" si="19"/>
        <v>-97.00277777777778</v>
      </c>
      <c r="M242" s="29">
        <v>2</v>
      </c>
      <c r="N242" s="57" t="str">
        <f t="shared" si="15"/>
        <v>TERMINO INDEFINIDO</v>
      </c>
      <c r="O242" s="58">
        <v>503</v>
      </c>
      <c r="P242" s="32">
        <v>5</v>
      </c>
      <c r="Q242" s="29" t="s">
        <v>30</v>
      </c>
      <c r="R242" s="29">
        <v>1</v>
      </c>
      <c r="S242" s="59">
        <v>6</v>
      </c>
      <c r="T242" s="32">
        <v>4</v>
      </c>
    </row>
    <row r="243" spans="1:20">
      <c r="A243" s="25" t="s">
        <v>45</v>
      </c>
      <c r="B243" s="54" t="s">
        <v>487</v>
      </c>
      <c r="C243" s="25" t="s">
        <v>488</v>
      </c>
      <c r="D243" s="25" t="s">
        <v>48</v>
      </c>
      <c r="E243" s="25" t="s">
        <v>483</v>
      </c>
      <c r="F243" s="25"/>
      <c r="G243" s="26">
        <v>6967259.7986902911</v>
      </c>
      <c r="H243" s="27">
        <v>35026</v>
      </c>
      <c r="I243" s="28"/>
      <c r="J243" s="27">
        <v>25678</v>
      </c>
      <c r="K243" s="25">
        <f>(DAYS360(J243,$K$1))/360</f>
        <v>-70.305555555555557</v>
      </c>
      <c r="L243" s="25">
        <f>(DAYS360(H243,$K$1))/360</f>
        <v>-95.897222222222226</v>
      </c>
      <c r="M243" s="29">
        <v>2</v>
      </c>
      <c r="N243" s="57" t="str">
        <f t="shared" si="15"/>
        <v>TERMINO INDEFINIDO</v>
      </c>
      <c r="O243" s="58">
        <v>20401</v>
      </c>
      <c r="P243" s="32">
        <v>5</v>
      </c>
      <c r="Q243" s="29" t="s">
        <v>35</v>
      </c>
      <c r="R243" s="29">
        <v>1</v>
      </c>
      <c r="S243" s="59">
        <v>5</v>
      </c>
      <c r="T243" s="32">
        <v>4</v>
      </c>
    </row>
    <row r="244" spans="1:20">
      <c r="A244" s="152" t="s">
        <v>185</v>
      </c>
      <c r="B244" s="54" t="s">
        <v>489</v>
      </c>
      <c r="C244" s="25" t="s">
        <v>490</v>
      </c>
      <c r="D244" s="25" t="s">
        <v>191</v>
      </c>
      <c r="E244" s="25" t="s">
        <v>483</v>
      </c>
      <c r="F244" s="25"/>
      <c r="G244" s="26">
        <v>6063364.9500000002</v>
      </c>
      <c r="H244" s="27">
        <v>31594</v>
      </c>
      <c r="I244" s="28"/>
      <c r="J244" s="27">
        <v>23933</v>
      </c>
      <c r="K244" s="25">
        <f>(DAYS360(J244,$K$1))/360</f>
        <v>-65.527777777777771</v>
      </c>
      <c r="L244" s="25">
        <f>(DAYS360(H244,$K$1))/360</f>
        <v>-86.50277777777778</v>
      </c>
      <c r="M244" s="29">
        <v>2</v>
      </c>
      <c r="N244" s="57" t="str">
        <f t="shared" si="15"/>
        <v>TERMINO INDEFINIDO</v>
      </c>
      <c r="O244" s="58">
        <v>605</v>
      </c>
      <c r="P244" s="32">
        <v>5</v>
      </c>
      <c r="Q244" s="29" t="s">
        <v>30</v>
      </c>
      <c r="R244" s="29">
        <v>1</v>
      </c>
      <c r="S244" s="59">
        <v>3</v>
      </c>
      <c r="T244" s="32">
        <v>4</v>
      </c>
    </row>
    <row r="245" spans="1:20">
      <c r="A245" s="153" t="s">
        <v>139</v>
      </c>
      <c r="B245" s="71">
        <v>12753932</v>
      </c>
      <c r="C245" s="36" t="s">
        <v>491</v>
      </c>
      <c r="D245" s="36" t="s">
        <v>141</v>
      </c>
      <c r="E245" s="36" t="s">
        <v>483</v>
      </c>
      <c r="F245" s="108"/>
      <c r="G245" s="154">
        <v>3971698.659</v>
      </c>
      <c r="H245" s="38">
        <v>36938</v>
      </c>
      <c r="I245" s="39"/>
      <c r="J245" s="38">
        <v>30227</v>
      </c>
      <c r="K245" s="36">
        <f t="shared" si="18"/>
        <v>-82.75833333333334</v>
      </c>
      <c r="L245" s="36">
        <f t="shared" si="19"/>
        <v>-101.12777777777778</v>
      </c>
      <c r="M245" s="40" t="s">
        <v>34</v>
      </c>
      <c r="N245" s="34" t="str">
        <f t="shared" si="15"/>
        <v>TERMINO INDEFINIDO NUEVO</v>
      </c>
      <c r="O245" s="35">
        <v>503</v>
      </c>
      <c r="P245" s="35">
        <v>5</v>
      </c>
      <c r="Q245" s="35" t="s">
        <v>30</v>
      </c>
      <c r="R245" s="35">
        <v>1</v>
      </c>
      <c r="S245" s="43">
        <v>2</v>
      </c>
      <c r="T245" s="42">
        <v>6</v>
      </c>
    </row>
    <row r="246" spans="1:20">
      <c r="A246" s="62" t="s">
        <v>36</v>
      </c>
      <c r="B246" s="61">
        <v>1085322965</v>
      </c>
      <c r="C246" s="62" t="s">
        <v>492</v>
      </c>
      <c r="D246" s="62" t="s">
        <v>38</v>
      </c>
      <c r="E246" s="25" t="s">
        <v>483</v>
      </c>
      <c r="F246" s="25"/>
      <c r="G246" s="63">
        <v>3707009.3133</v>
      </c>
      <c r="H246" s="64">
        <v>44477</v>
      </c>
      <c r="I246" s="65"/>
      <c r="J246" s="64">
        <v>34940</v>
      </c>
      <c r="K246" s="25">
        <f t="shared" si="18"/>
        <v>-95.663888888888891</v>
      </c>
      <c r="L246" s="25">
        <f t="shared" si="19"/>
        <v>-121.77222222222223</v>
      </c>
      <c r="M246" s="66" t="s">
        <v>34</v>
      </c>
      <c r="N246" s="74" t="str">
        <f t="shared" si="15"/>
        <v>TERMINO INDEFINIDO NUEVO</v>
      </c>
      <c r="O246" s="69">
        <v>406</v>
      </c>
      <c r="P246" s="69">
        <v>3</v>
      </c>
      <c r="Q246" s="69" t="s">
        <v>30</v>
      </c>
      <c r="R246" s="69">
        <v>2</v>
      </c>
      <c r="S246" s="75">
        <v>2</v>
      </c>
      <c r="T246" s="68">
        <v>5</v>
      </c>
    </row>
    <row r="247" spans="1:20">
      <c r="A247" s="25" t="s">
        <v>36</v>
      </c>
      <c r="B247" s="54" t="s">
        <v>493</v>
      </c>
      <c r="C247" s="25" t="s">
        <v>494</v>
      </c>
      <c r="D247" s="25" t="s">
        <v>61</v>
      </c>
      <c r="E247" s="25" t="s">
        <v>483</v>
      </c>
      <c r="F247" s="25" t="s">
        <v>495</v>
      </c>
      <c r="G247" s="26">
        <v>3707009.3133</v>
      </c>
      <c r="H247" s="81">
        <v>36606</v>
      </c>
      <c r="I247" s="82"/>
      <c r="J247" s="27">
        <v>29003</v>
      </c>
      <c r="K247" s="25">
        <f t="shared" si="18"/>
        <v>-79.411111111111111</v>
      </c>
      <c r="L247" s="25">
        <f t="shared" si="19"/>
        <v>-100.22499999999999</v>
      </c>
      <c r="M247" s="29">
        <v>2</v>
      </c>
      <c r="N247" s="30" t="str">
        <f t="shared" si="15"/>
        <v>TERMINO INDEFINIDO</v>
      </c>
      <c r="O247" s="29">
        <v>503</v>
      </c>
      <c r="P247" s="29">
        <v>5</v>
      </c>
      <c r="Q247" s="29" t="s">
        <v>35</v>
      </c>
      <c r="R247" s="29">
        <v>2</v>
      </c>
      <c r="S247" s="31">
        <v>5</v>
      </c>
      <c r="T247" s="32">
        <v>6</v>
      </c>
    </row>
    <row r="248" spans="1:20">
      <c r="A248" s="25" t="s">
        <v>36</v>
      </c>
      <c r="B248" s="54">
        <v>60345086</v>
      </c>
      <c r="C248" s="25" t="s">
        <v>496</v>
      </c>
      <c r="D248" s="25" t="s">
        <v>61</v>
      </c>
      <c r="E248" s="25" t="s">
        <v>483</v>
      </c>
      <c r="F248" s="25"/>
      <c r="G248" s="26">
        <v>3707010.1742695728</v>
      </c>
      <c r="H248" s="27">
        <v>45111</v>
      </c>
      <c r="I248" s="28">
        <v>46387</v>
      </c>
      <c r="J248" s="27">
        <v>26160</v>
      </c>
      <c r="K248" s="25">
        <f>(DAYS360(J248,$K$1))/360</f>
        <v>-71.625</v>
      </c>
      <c r="L248" s="25">
        <f>(DAYS360(H248,$K$1))/360</f>
        <v>-123.51111111111111</v>
      </c>
      <c r="M248" s="29">
        <v>1</v>
      </c>
      <c r="N248" s="76" t="str">
        <f t="shared" si="15"/>
        <v>TERMINO FIJO</v>
      </c>
      <c r="O248" s="32">
        <v>503</v>
      </c>
      <c r="P248" s="32">
        <v>4</v>
      </c>
      <c r="Q248" s="29" t="s">
        <v>35</v>
      </c>
      <c r="R248" s="29">
        <v>1</v>
      </c>
      <c r="S248" s="59">
        <v>5</v>
      </c>
      <c r="T248" s="32">
        <v>6</v>
      </c>
    </row>
    <row r="249" spans="1:20">
      <c r="A249" s="36" t="s">
        <v>36</v>
      </c>
      <c r="B249" s="71">
        <v>87718311</v>
      </c>
      <c r="C249" s="36" t="s">
        <v>497</v>
      </c>
      <c r="D249" s="36" t="s">
        <v>61</v>
      </c>
      <c r="E249" s="36" t="s">
        <v>483</v>
      </c>
      <c r="F249" s="36"/>
      <c r="G249" s="37">
        <v>3707009.3133</v>
      </c>
      <c r="H249" s="38">
        <v>40478</v>
      </c>
      <c r="I249" s="39"/>
      <c r="J249" s="38">
        <v>27972</v>
      </c>
      <c r="K249" s="36">
        <f t="shared" si="18"/>
        <v>-76.583333333333329</v>
      </c>
      <c r="L249" s="36">
        <f t="shared" si="19"/>
        <v>-110.825</v>
      </c>
      <c r="M249" s="40" t="s">
        <v>34</v>
      </c>
      <c r="N249" s="34" t="str">
        <f t="shared" si="15"/>
        <v>TERMINO INDEFINIDO NUEVO</v>
      </c>
      <c r="O249" s="35">
        <v>503</v>
      </c>
      <c r="P249" s="35">
        <v>5</v>
      </c>
      <c r="Q249" s="35" t="s">
        <v>30</v>
      </c>
      <c r="R249" s="155">
        <v>1</v>
      </c>
      <c r="S249" s="43">
        <v>5</v>
      </c>
      <c r="T249" s="42">
        <v>6</v>
      </c>
    </row>
    <row r="250" spans="1:20">
      <c r="A250" s="24" t="s">
        <v>124</v>
      </c>
      <c r="B250" s="54">
        <v>1004217544</v>
      </c>
      <c r="C250" s="25" t="s">
        <v>498</v>
      </c>
      <c r="D250" s="25" t="s">
        <v>117</v>
      </c>
      <c r="E250" s="25" t="s">
        <v>483</v>
      </c>
      <c r="F250" s="25" t="s">
        <v>44</v>
      </c>
      <c r="G250" s="26">
        <v>2802739.7214000002</v>
      </c>
      <c r="H250" s="27">
        <v>45418</v>
      </c>
      <c r="I250" s="28">
        <v>46387</v>
      </c>
      <c r="J250" s="27">
        <v>39102</v>
      </c>
      <c r="K250" s="25">
        <f>(DAYS360(J250,$K$1))/360</f>
        <v>-107.05555555555556</v>
      </c>
      <c r="L250" s="25">
        <f>(DAYS360(H250,$K$1))/360</f>
        <v>-124.35</v>
      </c>
      <c r="M250" s="29">
        <v>1</v>
      </c>
      <c r="N250" s="30" t="str">
        <f>IF(M250=3,"SALARIO INTEGRAL",IF(M250=2,"TERMINO INDEFINIDO",IF(M250=1,"TERMINO FIJO",IF(M250="2_N","TERMINO INDEFINIDO NUEVO","OTRO"))))</f>
        <v>TERMINO FIJO</v>
      </c>
      <c r="O250" s="29">
        <v>503</v>
      </c>
      <c r="P250" s="29">
        <v>5</v>
      </c>
      <c r="Q250" s="29" t="s">
        <v>35</v>
      </c>
      <c r="R250" s="29">
        <v>1</v>
      </c>
      <c r="S250" s="31">
        <v>5</v>
      </c>
      <c r="T250" s="32">
        <v>6</v>
      </c>
    </row>
    <row r="251" spans="1:20">
      <c r="A251" s="25" t="s">
        <v>115</v>
      </c>
      <c r="B251" s="54">
        <v>36758948</v>
      </c>
      <c r="C251" s="25" t="s">
        <v>499</v>
      </c>
      <c r="D251" s="25" t="s">
        <v>117</v>
      </c>
      <c r="E251" s="25" t="s">
        <v>483</v>
      </c>
      <c r="F251" s="25"/>
      <c r="G251" s="26">
        <v>3283806.7690738421</v>
      </c>
      <c r="H251" s="27">
        <v>46240</v>
      </c>
      <c r="I251" s="28">
        <v>46295</v>
      </c>
      <c r="J251" s="27">
        <v>30153</v>
      </c>
      <c r="K251" s="25">
        <f t="shared" si="18"/>
        <v>-82.558333333333337</v>
      </c>
      <c r="L251" s="25">
        <f t="shared" si="19"/>
        <v>-126.6</v>
      </c>
      <c r="M251" s="29">
        <v>1</v>
      </c>
      <c r="N251" s="30" t="str">
        <f t="shared" si="15"/>
        <v>TERMINO FIJO</v>
      </c>
      <c r="O251" s="29">
        <v>503</v>
      </c>
      <c r="P251" s="29">
        <v>5</v>
      </c>
      <c r="Q251" s="29" t="s">
        <v>35</v>
      </c>
      <c r="R251" s="29">
        <v>1</v>
      </c>
      <c r="S251" s="31">
        <v>5</v>
      </c>
      <c r="T251" s="32">
        <v>6</v>
      </c>
    </row>
    <row r="252" spans="1:20">
      <c r="A252" s="36" t="s">
        <v>149</v>
      </c>
      <c r="B252" s="71">
        <v>1085251982</v>
      </c>
      <c r="C252" s="36" t="s">
        <v>500</v>
      </c>
      <c r="D252" s="36" t="s">
        <v>151</v>
      </c>
      <c r="E252" s="36" t="s">
        <v>483</v>
      </c>
      <c r="F252" s="36"/>
      <c r="G252" s="37">
        <v>3415094.5981706623</v>
      </c>
      <c r="H252" s="38">
        <v>40665</v>
      </c>
      <c r="I252" s="39"/>
      <c r="J252" s="38">
        <v>31617</v>
      </c>
      <c r="K252" s="36">
        <f t="shared" si="18"/>
        <v>-86.566666666666663</v>
      </c>
      <c r="L252" s="36">
        <f t="shared" si="19"/>
        <v>-111.33888888888889</v>
      </c>
      <c r="M252" s="40" t="s">
        <v>34</v>
      </c>
      <c r="N252" s="34" t="str">
        <f t="shared" si="15"/>
        <v>TERMINO INDEFINIDO NUEVO</v>
      </c>
      <c r="O252" s="35">
        <v>503</v>
      </c>
      <c r="P252" s="35">
        <v>5</v>
      </c>
      <c r="Q252" s="35" t="s">
        <v>35</v>
      </c>
      <c r="R252" s="35">
        <v>1</v>
      </c>
      <c r="S252" s="43">
        <v>5</v>
      </c>
      <c r="T252" s="42">
        <v>6</v>
      </c>
    </row>
    <row r="253" spans="1:20">
      <c r="A253" s="36" t="s">
        <v>501</v>
      </c>
      <c r="B253" s="71">
        <v>5205170</v>
      </c>
      <c r="C253" s="36" t="s">
        <v>502</v>
      </c>
      <c r="D253" s="36" t="s">
        <v>503</v>
      </c>
      <c r="E253" s="36" t="s">
        <v>504</v>
      </c>
      <c r="F253" s="36"/>
      <c r="G253" s="37">
        <v>2527665.915483275</v>
      </c>
      <c r="H253" s="38">
        <v>39142</v>
      </c>
      <c r="I253" s="39"/>
      <c r="J253" s="38">
        <v>27018</v>
      </c>
      <c r="K253" s="36">
        <f t="shared" si="18"/>
        <v>-73.972222222222229</v>
      </c>
      <c r="L253" s="36">
        <f t="shared" si="19"/>
        <v>-107.16944444444445</v>
      </c>
      <c r="M253" s="40" t="s">
        <v>34</v>
      </c>
      <c r="N253" s="124" t="str">
        <f t="shared" si="15"/>
        <v>TERMINO INDEFINIDO NUEVO</v>
      </c>
      <c r="O253" s="125">
        <v>504</v>
      </c>
      <c r="P253" s="42">
        <v>5</v>
      </c>
      <c r="Q253" s="35" t="s">
        <v>30</v>
      </c>
      <c r="R253" s="35">
        <v>2</v>
      </c>
      <c r="S253" s="94">
        <v>3</v>
      </c>
      <c r="T253" s="42">
        <v>5</v>
      </c>
    </row>
    <row r="254" spans="1:20">
      <c r="A254" s="44" t="s">
        <v>501</v>
      </c>
      <c r="B254" s="45">
        <v>1085313398</v>
      </c>
      <c r="C254" s="44" t="s">
        <v>505</v>
      </c>
      <c r="D254" s="44" t="s">
        <v>503</v>
      </c>
      <c r="E254" s="25" t="s">
        <v>506</v>
      </c>
      <c r="F254" s="25"/>
      <c r="G254" s="46">
        <v>2527665.915483275</v>
      </c>
      <c r="H254" s="47">
        <v>44228</v>
      </c>
      <c r="I254" s="48"/>
      <c r="J254" s="47">
        <v>34498</v>
      </c>
      <c r="K254" s="44">
        <f t="shared" si="18"/>
        <v>-94.452777777777783</v>
      </c>
      <c r="L254" s="44">
        <f t="shared" si="19"/>
        <v>-121.08611111111111</v>
      </c>
      <c r="M254" s="49" t="s">
        <v>34</v>
      </c>
      <c r="N254" s="156" t="str">
        <f t="shared" si="15"/>
        <v>TERMINO INDEFINIDO NUEVO</v>
      </c>
      <c r="O254" s="157">
        <v>504</v>
      </c>
      <c r="P254" s="53">
        <v>5</v>
      </c>
      <c r="Q254" s="51" t="s">
        <v>30</v>
      </c>
      <c r="R254" s="51">
        <v>2</v>
      </c>
      <c r="S254" s="97">
        <v>2</v>
      </c>
      <c r="T254" s="53">
        <v>5</v>
      </c>
    </row>
    <row r="255" spans="1:20">
      <c r="A255" s="36" t="s">
        <v>501</v>
      </c>
      <c r="B255" s="71">
        <v>6325490</v>
      </c>
      <c r="C255" s="36" t="s">
        <v>507</v>
      </c>
      <c r="D255" s="36" t="s">
        <v>503</v>
      </c>
      <c r="E255" s="36" t="s">
        <v>508</v>
      </c>
      <c r="F255" s="36"/>
      <c r="G255" s="37">
        <v>2527665.915483275</v>
      </c>
      <c r="H255" s="38">
        <v>38250</v>
      </c>
      <c r="I255" s="39"/>
      <c r="J255" s="38">
        <v>22323</v>
      </c>
      <c r="K255" s="36">
        <f t="shared" si="18"/>
        <v>-61.113888888888887</v>
      </c>
      <c r="L255" s="36">
        <f t="shared" si="19"/>
        <v>-104.72222222222223</v>
      </c>
      <c r="M255" s="40" t="s">
        <v>34</v>
      </c>
      <c r="N255" s="124" t="str">
        <f t="shared" si="15"/>
        <v>TERMINO INDEFINIDO NUEVO</v>
      </c>
      <c r="O255" s="125">
        <v>504</v>
      </c>
      <c r="P255" s="42">
        <v>5</v>
      </c>
      <c r="Q255" s="35" t="s">
        <v>30</v>
      </c>
      <c r="R255" s="35">
        <v>2</v>
      </c>
      <c r="S255" s="94">
        <v>2</v>
      </c>
      <c r="T255" s="42">
        <v>5</v>
      </c>
    </row>
    <row r="256" spans="1:20">
      <c r="A256" s="36" t="s">
        <v>501</v>
      </c>
      <c r="B256" s="71">
        <v>98400338</v>
      </c>
      <c r="C256" s="36" t="s">
        <v>509</v>
      </c>
      <c r="D256" s="36" t="s">
        <v>503</v>
      </c>
      <c r="E256" s="36" t="s">
        <v>510</v>
      </c>
      <c r="F256" s="36"/>
      <c r="G256" s="37">
        <v>2527665.9639545344</v>
      </c>
      <c r="H256" s="38">
        <v>37903</v>
      </c>
      <c r="I256" s="39"/>
      <c r="J256" s="38">
        <v>28427</v>
      </c>
      <c r="K256" s="36">
        <f t="shared" si="18"/>
        <v>-77.830555555555549</v>
      </c>
      <c r="L256" s="36">
        <f t="shared" si="19"/>
        <v>-103.77500000000001</v>
      </c>
      <c r="M256" s="40" t="s">
        <v>34</v>
      </c>
      <c r="N256" s="41" t="str">
        <f t="shared" si="15"/>
        <v>TERMINO INDEFINIDO NUEVO</v>
      </c>
      <c r="O256" s="42">
        <v>507</v>
      </c>
      <c r="P256" s="42">
        <v>5</v>
      </c>
      <c r="Q256" s="35" t="s">
        <v>30</v>
      </c>
      <c r="R256" s="35">
        <v>2</v>
      </c>
      <c r="S256" s="94">
        <v>3</v>
      </c>
      <c r="T256" s="42">
        <v>5</v>
      </c>
    </row>
    <row r="257" spans="1:20">
      <c r="A257" s="25" t="s">
        <v>511</v>
      </c>
      <c r="B257" s="54" t="s">
        <v>512</v>
      </c>
      <c r="C257" s="25" t="s">
        <v>513</v>
      </c>
      <c r="D257" s="25" t="s">
        <v>514</v>
      </c>
      <c r="E257" s="25" t="s">
        <v>510</v>
      </c>
      <c r="F257" s="25"/>
      <c r="G257" s="26">
        <v>2802739.1336794067</v>
      </c>
      <c r="H257" s="27">
        <v>35582</v>
      </c>
      <c r="I257" s="28"/>
      <c r="J257" s="27">
        <v>26501</v>
      </c>
      <c r="K257" s="25">
        <f t="shared" si="18"/>
        <v>-72.558333333333337</v>
      </c>
      <c r="L257" s="25">
        <f t="shared" si="19"/>
        <v>-97.419444444444451</v>
      </c>
      <c r="M257" s="29">
        <v>2</v>
      </c>
      <c r="N257" s="57" t="str">
        <f t="shared" si="15"/>
        <v>TERMINO INDEFINIDO</v>
      </c>
      <c r="O257" s="58">
        <v>504</v>
      </c>
      <c r="P257" s="32">
        <v>5</v>
      </c>
      <c r="Q257" s="29" t="s">
        <v>30</v>
      </c>
      <c r="R257" s="29">
        <v>2</v>
      </c>
      <c r="S257" s="59">
        <v>3</v>
      </c>
      <c r="T257" s="32">
        <v>5</v>
      </c>
    </row>
    <row r="258" spans="1:20">
      <c r="A258" s="25" t="s">
        <v>511</v>
      </c>
      <c r="B258" s="54" t="s">
        <v>515</v>
      </c>
      <c r="C258" s="25" t="s">
        <v>516</v>
      </c>
      <c r="D258" s="25" t="s">
        <v>514</v>
      </c>
      <c r="E258" s="25" t="s">
        <v>504</v>
      </c>
      <c r="F258" s="25"/>
      <c r="G258" s="26">
        <v>2802739.1336794067</v>
      </c>
      <c r="H258" s="27">
        <v>33933</v>
      </c>
      <c r="I258" s="28"/>
      <c r="J258" s="27">
        <v>24719</v>
      </c>
      <c r="K258" s="25">
        <f t="shared" si="18"/>
        <v>-67.677777777777777</v>
      </c>
      <c r="L258" s="25">
        <f t="shared" si="19"/>
        <v>-92.902777777777771</v>
      </c>
      <c r="M258" s="29">
        <v>2</v>
      </c>
      <c r="N258" s="57" t="str">
        <f t="shared" si="15"/>
        <v>TERMINO INDEFINIDO</v>
      </c>
      <c r="O258" s="58">
        <v>504</v>
      </c>
      <c r="P258" s="32">
        <v>5</v>
      </c>
      <c r="Q258" s="29" t="s">
        <v>30</v>
      </c>
      <c r="R258" s="29">
        <v>2</v>
      </c>
      <c r="S258" s="59">
        <v>3</v>
      </c>
      <c r="T258" s="32">
        <v>5</v>
      </c>
    </row>
    <row r="259" spans="1:20">
      <c r="A259" s="25" t="s">
        <v>511</v>
      </c>
      <c r="B259" s="54" t="s">
        <v>517</v>
      </c>
      <c r="C259" s="25" t="s">
        <v>518</v>
      </c>
      <c r="D259" s="25" t="s">
        <v>514</v>
      </c>
      <c r="E259" s="25" t="s">
        <v>519</v>
      </c>
      <c r="F259" s="25"/>
      <c r="G259" s="26">
        <v>2802739.1336794067</v>
      </c>
      <c r="H259" s="27">
        <v>36608</v>
      </c>
      <c r="I259" s="28"/>
      <c r="J259" s="27">
        <v>24914</v>
      </c>
      <c r="K259" s="25">
        <f t="shared" si="18"/>
        <v>-68.213888888888889</v>
      </c>
      <c r="L259" s="25">
        <f t="shared" si="19"/>
        <v>-100.23055555555555</v>
      </c>
      <c r="M259" s="29">
        <v>2</v>
      </c>
      <c r="N259" s="57" t="str">
        <f t="shared" si="15"/>
        <v>TERMINO INDEFINIDO</v>
      </c>
      <c r="O259" s="58">
        <v>504</v>
      </c>
      <c r="P259" s="32">
        <v>5</v>
      </c>
      <c r="Q259" s="29" t="s">
        <v>30</v>
      </c>
      <c r="R259" s="29">
        <v>2</v>
      </c>
      <c r="S259" s="59">
        <v>3</v>
      </c>
      <c r="T259" s="32">
        <v>5</v>
      </c>
    </row>
    <row r="260" spans="1:20">
      <c r="A260" s="25" t="s">
        <v>511</v>
      </c>
      <c r="B260" s="54" t="s">
        <v>520</v>
      </c>
      <c r="C260" s="25" t="s">
        <v>521</v>
      </c>
      <c r="D260" s="25" t="s">
        <v>514</v>
      </c>
      <c r="E260" s="25" t="s">
        <v>508</v>
      </c>
      <c r="F260" s="25"/>
      <c r="G260" s="26">
        <v>2802739.1336794067</v>
      </c>
      <c r="H260" s="27">
        <v>36601</v>
      </c>
      <c r="I260" s="28"/>
      <c r="J260" s="27">
        <v>28936</v>
      </c>
      <c r="K260" s="25">
        <f t="shared" si="18"/>
        <v>-79.227777777777774</v>
      </c>
      <c r="L260" s="25">
        <f t="shared" si="19"/>
        <v>-100.21111111111111</v>
      </c>
      <c r="M260" s="29">
        <v>2</v>
      </c>
      <c r="N260" s="57" t="str">
        <f t="shared" si="15"/>
        <v>TERMINO INDEFINIDO</v>
      </c>
      <c r="O260" s="58">
        <v>504</v>
      </c>
      <c r="P260" s="32">
        <v>5</v>
      </c>
      <c r="Q260" s="29" t="s">
        <v>30</v>
      </c>
      <c r="R260" s="29">
        <v>2</v>
      </c>
      <c r="S260" s="59">
        <v>3</v>
      </c>
      <c r="T260" s="32">
        <v>5</v>
      </c>
    </row>
    <row r="261" spans="1:20">
      <c r="A261" s="25" t="s">
        <v>511</v>
      </c>
      <c r="B261" s="54">
        <v>98326666</v>
      </c>
      <c r="C261" s="25" t="s">
        <v>522</v>
      </c>
      <c r="D261" s="25" t="s">
        <v>514</v>
      </c>
      <c r="E261" s="25" t="s">
        <v>506</v>
      </c>
      <c r="F261" s="25"/>
      <c r="G261" s="26">
        <v>2802739.1336794067</v>
      </c>
      <c r="H261" s="27">
        <v>46209</v>
      </c>
      <c r="I261" s="28">
        <v>46295</v>
      </c>
      <c r="J261" s="27">
        <v>30651</v>
      </c>
      <c r="K261" s="25">
        <f t="shared" si="18"/>
        <v>-83.919444444444451</v>
      </c>
      <c r="L261" s="25">
        <f t="shared" si="19"/>
        <v>-126.51666666666667</v>
      </c>
      <c r="M261" s="29">
        <v>1</v>
      </c>
      <c r="N261" s="57" t="str">
        <f t="shared" si="15"/>
        <v>TERMINO FIJO</v>
      </c>
      <c r="O261" s="58">
        <v>504</v>
      </c>
      <c r="P261" s="32">
        <v>5</v>
      </c>
      <c r="Q261" s="29" t="s">
        <v>30</v>
      </c>
      <c r="R261" s="29">
        <v>2</v>
      </c>
      <c r="S261" s="59">
        <v>3</v>
      </c>
      <c r="T261" s="32">
        <v>5</v>
      </c>
    </row>
    <row r="262" spans="1:20">
      <c r="A262" s="36" t="s">
        <v>67</v>
      </c>
      <c r="B262" s="71">
        <v>59819417</v>
      </c>
      <c r="C262" s="36" t="s">
        <v>523</v>
      </c>
      <c r="D262" s="36" t="s">
        <v>69</v>
      </c>
      <c r="E262" s="36" t="s">
        <v>524</v>
      </c>
      <c r="F262" s="36" t="s">
        <v>525</v>
      </c>
      <c r="G262" s="37">
        <v>9446509.4700000007</v>
      </c>
      <c r="H262" s="38">
        <v>40305</v>
      </c>
      <c r="I262" s="39"/>
      <c r="J262" s="38">
        <v>26696</v>
      </c>
      <c r="K262" s="36">
        <f>(DAYS360(J262,$K$1))/360</f>
        <v>-73.086111111111109</v>
      </c>
      <c r="L262" s="36">
        <f>(DAYS360(H262,$K$1))/360</f>
        <v>-110.35277777777777</v>
      </c>
      <c r="M262" s="40" t="s">
        <v>34</v>
      </c>
      <c r="N262" s="34" t="str">
        <f>IF(M262=3,"SALARIO INTEGRAL",IF(M262=2,"TERMINO INDEFINIDO",IF(M262=1,"TERMINO FIJO",IF(M262="2_N","TERMINO INDEFINIDO NUEVO","OTRO"))))</f>
        <v>TERMINO INDEFINIDO NUEVO</v>
      </c>
      <c r="O262" s="35">
        <v>604</v>
      </c>
      <c r="P262" s="35">
        <v>5</v>
      </c>
      <c r="Q262" s="35" t="s">
        <v>35</v>
      </c>
      <c r="R262" s="35">
        <v>1</v>
      </c>
      <c r="S262" s="43">
        <v>6</v>
      </c>
      <c r="T262" s="42">
        <v>4</v>
      </c>
    </row>
    <row r="263" spans="1:20">
      <c r="A263" s="25" t="s">
        <v>45</v>
      </c>
      <c r="B263" s="25" t="s">
        <v>526</v>
      </c>
      <c r="C263" s="25" t="s">
        <v>527</v>
      </c>
      <c r="D263" s="25" t="s">
        <v>48</v>
      </c>
      <c r="E263" s="25" t="s">
        <v>524</v>
      </c>
      <c r="F263" s="25"/>
      <c r="G263" s="26">
        <v>6967259.7986902911</v>
      </c>
      <c r="H263" s="27">
        <v>36601</v>
      </c>
      <c r="I263" s="28"/>
      <c r="J263" s="27">
        <v>27628</v>
      </c>
      <c r="K263" s="25">
        <f t="shared" ref="K263:K280" si="20">(DAYS360(J263,$K$1))/360</f>
        <v>-75.644444444444446</v>
      </c>
      <c r="L263" s="25">
        <f t="shared" ref="L263:L280" si="21">(DAYS360(H263,$K$1))/360</f>
        <v>-100.21111111111111</v>
      </c>
      <c r="M263" s="29">
        <v>2</v>
      </c>
      <c r="N263" s="30" t="str">
        <f t="shared" ref="N263:N327" si="22">IF(M263=3,"SALARIO INTEGRAL",IF(M263=2,"TERMINO INDEFINIDO",IF(M263=1,"TERMINO FIJO",IF(M263="2_N","TERMINO INDEFINIDO NUEVO","OTRO"))))</f>
        <v>TERMINO INDEFINIDO</v>
      </c>
      <c r="O263" s="29">
        <v>50601</v>
      </c>
      <c r="P263" s="29">
        <v>5</v>
      </c>
      <c r="Q263" s="29" t="s">
        <v>30</v>
      </c>
      <c r="R263" s="29">
        <v>1</v>
      </c>
      <c r="S263" s="31">
        <v>5</v>
      </c>
      <c r="T263" s="32">
        <v>5</v>
      </c>
    </row>
    <row r="264" spans="1:20">
      <c r="A264" s="36" t="s">
        <v>134</v>
      </c>
      <c r="B264" s="71">
        <v>59310659</v>
      </c>
      <c r="C264" s="36" t="s">
        <v>528</v>
      </c>
      <c r="D264" s="36" t="s">
        <v>529</v>
      </c>
      <c r="E264" s="25" t="s">
        <v>524</v>
      </c>
      <c r="F264" s="25"/>
      <c r="G264" s="37">
        <v>5637209.9356840365</v>
      </c>
      <c r="H264" s="38">
        <v>40626</v>
      </c>
      <c r="I264" s="39"/>
      <c r="J264" s="38">
        <v>30695</v>
      </c>
      <c r="K264" s="36">
        <f t="shared" si="20"/>
        <v>-84.038888888888891</v>
      </c>
      <c r="L264" s="36">
        <f t="shared" si="21"/>
        <v>-111.23333333333333</v>
      </c>
      <c r="M264" s="40" t="s">
        <v>34</v>
      </c>
      <c r="N264" s="34" t="str">
        <f t="shared" si="22"/>
        <v>TERMINO INDEFINIDO NUEVO</v>
      </c>
      <c r="O264" s="35">
        <v>50503</v>
      </c>
      <c r="P264" s="35">
        <v>5</v>
      </c>
      <c r="Q264" s="35" t="s">
        <v>35</v>
      </c>
      <c r="R264" s="35">
        <v>1</v>
      </c>
      <c r="S264" s="43">
        <v>3</v>
      </c>
      <c r="T264" s="42">
        <v>5</v>
      </c>
    </row>
    <row r="265" spans="1:20">
      <c r="A265" s="25" t="s">
        <v>134</v>
      </c>
      <c r="B265" s="25" t="s">
        <v>530</v>
      </c>
      <c r="C265" s="25" t="s">
        <v>531</v>
      </c>
      <c r="D265" s="3" t="s">
        <v>529</v>
      </c>
      <c r="E265" s="25" t="s">
        <v>524</v>
      </c>
      <c r="F265" s="25"/>
      <c r="G265" s="26">
        <v>5637210.3801000006</v>
      </c>
      <c r="H265" s="27">
        <v>35582</v>
      </c>
      <c r="I265" s="28"/>
      <c r="J265" s="27">
        <v>26496</v>
      </c>
      <c r="K265" s="36">
        <f t="shared" si="20"/>
        <v>-72.544444444444451</v>
      </c>
      <c r="L265" s="36">
        <f t="shared" si="21"/>
        <v>-97.419444444444451</v>
      </c>
      <c r="M265" s="29">
        <v>2</v>
      </c>
      <c r="N265" s="57" t="str">
        <f t="shared" si="22"/>
        <v>TERMINO INDEFINIDO</v>
      </c>
      <c r="O265" s="58">
        <v>50503</v>
      </c>
      <c r="P265" s="32">
        <v>5</v>
      </c>
      <c r="Q265" s="29" t="s">
        <v>30</v>
      </c>
      <c r="R265" s="29">
        <v>2</v>
      </c>
      <c r="S265" s="59">
        <v>5</v>
      </c>
      <c r="T265" s="32">
        <v>5</v>
      </c>
    </row>
    <row r="266" spans="1:20">
      <c r="A266" s="62" t="s">
        <v>36</v>
      </c>
      <c r="B266" s="61">
        <v>1085283885</v>
      </c>
      <c r="C266" s="62" t="s">
        <v>532</v>
      </c>
      <c r="D266" s="62" t="s">
        <v>38</v>
      </c>
      <c r="E266" s="25" t="s">
        <v>524</v>
      </c>
      <c r="F266" s="25"/>
      <c r="G266" s="63">
        <v>3707009.4514301317</v>
      </c>
      <c r="H266" s="64">
        <v>43110</v>
      </c>
      <c r="I266" s="65"/>
      <c r="J266" s="64">
        <v>33066</v>
      </c>
      <c r="K266" s="36">
        <f t="shared" si="20"/>
        <v>-90.533333333333331</v>
      </c>
      <c r="L266" s="36">
        <f t="shared" si="21"/>
        <v>-118.02777777777777</v>
      </c>
      <c r="M266" s="66" t="s">
        <v>34</v>
      </c>
      <c r="N266" s="135" t="str">
        <f t="shared" si="22"/>
        <v>TERMINO INDEFINIDO NUEVO</v>
      </c>
      <c r="O266" s="136">
        <v>50501</v>
      </c>
      <c r="P266" s="69">
        <v>5</v>
      </c>
      <c r="Q266" s="69" t="s">
        <v>35</v>
      </c>
      <c r="R266" s="69">
        <v>1</v>
      </c>
      <c r="S266" s="75">
        <v>5</v>
      </c>
      <c r="T266" s="68">
        <v>6</v>
      </c>
    </row>
    <row r="267" spans="1:20">
      <c r="A267" s="36" t="s">
        <v>36</v>
      </c>
      <c r="B267" s="34">
        <v>27276216</v>
      </c>
      <c r="C267" s="36" t="s">
        <v>533</v>
      </c>
      <c r="D267" s="36" t="s">
        <v>61</v>
      </c>
      <c r="E267" s="36" t="s">
        <v>524</v>
      </c>
      <c r="F267" s="36" t="s">
        <v>44</v>
      </c>
      <c r="G267" s="37">
        <v>3707009.67</v>
      </c>
      <c r="H267" s="38">
        <v>37322</v>
      </c>
      <c r="I267" s="39"/>
      <c r="J267" s="38">
        <v>24739</v>
      </c>
      <c r="K267" s="36">
        <f t="shared" si="20"/>
        <v>-67.733333333333334</v>
      </c>
      <c r="L267" s="36">
        <f t="shared" si="21"/>
        <v>-102.18611111111112</v>
      </c>
      <c r="M267" s="40" t="s">
        <v>34</v>
      </c>
      <c r="N267" s="124" t="str">
        <f t="shared" si="22"/>
        <v>TERMINO INDEFINIDO NUEVO</v>
      </c>
      <c r="O267" s="125">
        <v>50601</v>
      </c>
      <c r="P267" s="35">
        <v>5</v>
      </c>
      <c r="Q267" s="35" t="s">
        <v>35</v>
      </c>
      <c r="R267" s="35">
        <v>1</v>
      </c>
      <c r="S267" s="43">
        <v>5</v>
      </c>
      <c r="T267" s="42">
        <v>4</v>
      </c>
    </row>
    <row r="268" spans="1:20">
      <c r="A268" s="36" t="s">
        <v>36</v>
      </c>
      <c r="B268" s="71">
        <v>59828781</v>
      </c>
      <c r="C268" s="36" t="s">
        <v>534</v>
      </c>
      <c r="D268" s="36" t="s">
        <v>61</v>
      </c>
      <c r="E268" s="36" t="s">
        <v>524</v>
      </c>
      <c r="F268" s="36"/>
      <c r="G268" s="37">
        <v>3706025.67</v>
      </c>
      <c r="H268" s="38">
        <v>36990</v>
      </c>
      <c r="I268" s="39"/>
      <c r="J268" s="38">
        <v>27555</v>
      </c>
      <c r="K268" s="36">
        <f t="shared" si="20"/>
        <v>-75.444444444444443</v>
      </c>
      <c r="L268" s="36">
        <f t="shared" si="21"/>
        <v>-101.27500000000001</v>
      </c>
      <c r="M268" s="40" t="s">
        <v>34</v>
      </c>
      <c r="N268" s="34" t="str">
        <f t="shared" si="22"/>
        <v>TERMINO INDEFINIDO NUEVO</v>
      </c>
      <c r="O268" s="35">
        <v>50501</v>
      </c>
      <c r="P268" s="35">
        <v>5</v>
      </c>
      <c r="Q268" s="35" t="s">
        <v>35</v>
      </c>
      <c r="R268" s="35">
        <v>1</v>
      </c>
      <c r="S268" s="43">
        <v>2</v>
      </c>
      <c r="T268" s="42">
        <v>4</v>
      </c>
    </row>
    <row r="269" spans="1:20">
      <c r="A269" s="25" t="s">
        <v>36</v>
      </c>
      <c r="B269" s="54" t="s">
        <v>535</v>
      </c>
      <c r="C269" s="25" t="s">
        <v>536</v>
      </c>
      <c r="D269" s="25" t="s">
        <v>38</v>
      </c>
      <c r="E269" s="25" t="s">
        <v>524</v>
      </c>
      <c r="F269" s="25" t="s">
        <v>537</v>
      </c>
      <c r="G269" s="26">
        <v>3707009.5134529797</v>
      </c>
      <c r="H269" s="27">
        <v>34550</v>
      </c>
      <c r="I269" s="28"/>
      <c r="J269" s="27">
        <v>26644</v>
      </c>
      <c r="K269" s="25">
        <f>(DAYS360(J269,$K$1))/360</f>
        <v>-72.947222222222223</v>
      </c>
      <c r="L269" s="25">
        <f>(DAYS360(H269,$K$1))/360</f>
        <v>-94.594444444444449</v>
      </c>
      <c r="M269" s="29">
        <v>2</v>
      </c>
      <c r="N269" s="30" t="str">
        <f>IF(M269=3,"SALARIO INTEGRAL",IF(M269=2,"TERMINO INDEFINIDO",IF(M269=1,"TERMINO FIJO",IF(M269="2_N","TERMINO INDEFINIDO NUEVO","OTRO"))))</f>
        <v>TERMINO INDEFINIDO</v>
      </c>
      <c r="O269" s="29">
        <v>407</v>
      </c>
      <c r="P269" s="32">
        <v>5</v>
      </c>
      <c r="Q269" s="29" t="s">
        <v>35</v>
      </c>
      <c r="R269" s="29">
        <v>1</v>
      </c>
      <c r="S269" s="59">
        <v>3</v>
      </c>
      <c r="T269" s="32">
        <v>6</v>
      </c>
    </row>
    <row r="270" spans="1:20">
      <c r="A270" s="36" t="s">
        <v>115</v>
      </c>
      <c r="B270" s="71">
        <v>1085250670</v>
      </c>
      <c r="C270" s="36" t="s">
        <v>538</v>
      </c>
      <c r="D270" s="36" t="s">
        <v>117</v>
      </c>
      <c r="E270" s="36" t="s">
        <v>524</v>
      </c>
      <c r="F270" s="36" t="s">
        <v>44</v>
      </c>
      <c r="G270" s="37">
        <v>3283807.26</v>
      </c>
      <c r="H270" s="38">
        <v>42235</v>
      </c>
      <c r="I270" s="39"/>
      <c r="J270" s="38">
        <v>31450</v>
      </c>
      <c r="K270" s="36">
        <f t="shared" si="20"/>
        <v>-86.102777777777774</v>
      </c>
      <c r="L270" s="36">
        <f t="shared" si="21"/>
        <v>-115.63611111111111</v>
      </c>
      <c r="M270" s="40" t="s">
        <v>34</v>
      </c>
      <c r="N270" s="34" t="str">
        <f t="shared" si="22"/>
        <v>TERMINO INDEFINIDO NUEVO</v>
      </c>
      <c r="O270" s="35">
        <v>50501</v>
      </c>
      <c r="P270" s="35">
        <v>5</v>
      </c>
      <c r="Q270" s="35" t="s">
        <v>35</v>
      </c>
      <c r="R270" s="35">
        <v>1</v>
      </c>
      <c r="S270" s="94">
        <v>2</v>
      </c>
      <c r="T270" s="42">
        <v>6</v>
      </c>
    </row>
    <row r="271" spans="1:20">
      <c r="A271" s="25" t="s">
        <v>115</v>
      </c>
      <c r="B271" s="54">
        <v>59829360</v>
      </c>
      <c r="C271" s="25" t="s">
        <v>539</v>
      </c>
      <c r="D271" s="25" t="s">
        <v>122</v>
      </c>
      <c r="E271" s="25" t="s">
        <v>524</v>
      </c>
      <c r="F271" s="25" t="s">
        <v>540</v>
      </c>
      <c r="G271" s="26">
        <v>3283806.9603586649</v>
      </c>
      <c r="H271" s="158">
        <v>45793</v>
      </c>
      <c r="I271" s="159">
        <v>46387</v>
      </c>
      <c r="J271" s="158">
        <v>27616</v>
      </c>
      <c r="K271" s="44">
        <f t="shared" si="20"/>
        <v>-75.611111111111114</v>
      </c>
      <c r="L271" s="44">
        <f t="shared" si="21"/>
        <v>-125.37777777777778</v>
      </c>
      <c r="M271" s="29">
        <v>1</v>
      </c>
      <c r="N271" s="30" t="str">
        <f t="shared" si="22"/>
        <v>TERMINO FIJO</v>
      </c>
      <c r="O271" s="29">
        <v>50601</v>
      </c>
      <c r="P271" s="32">
        <v>4</v>
      </c>
      <c r="Q271" s="29" t="s">
        <v>35</v>
      </c>
      <c r="R271" s="29">
        <v>1</v>
      </c>
      <c r="S271" s="4">
        <v>5</v>
      </c>
      <c r="T271" s="32">
        <v>6</v>
      </c>
    </row>
    <row r="272" spans="1:20">
      <c r="A272" s="36" t="s">
        <v>115</v>
      </c>
      <c r="B272" s="71">
        <v>59815383</v>
      </c>
      <c r="C272" s="36" t="s">
        <v>541</v>
      </c>
      <c r="D272" s="36" t="s">
        <v>117</v>
      </c>
      <c r="E272" s="36" t="s">
        <v>524</v>
      </c>
      <c r="F272" s="36" t="s">
        <v>542</v>
      </c>
      <c r="G272" s="37">
        <v>3283806.7690738421</v>
      </c>
      <c r="H272" s="86">
        <v>42872</v>
      </c>
      <c r="I272" s="39"/>
      <c r="J272" s="38">
        <v>25853</v>
      </c>
      <c r="K272" s="25">
        <f>(DAYS360(J272,$K$1))/360</f>
        <v>-70.783333333333331</v>
      </c>
      <c r="L272" s="25">
        <f>(DAYS360(H272,$K$1))/360</f>
        <v>-117.38055555555556</v>
      </c>
      <c r="M272" s="40" t="s">
        <v>34</v>
      </c>
      <c r="N272" s="41" t="str">
        <f>IF(M272=3,"SALARIO INTEGRAL",IF(M272=2,"TERMINO INDEFINIDO",IF(M272=1,"TERMINO FIJO",IF(M272="2_N","TERMINO INDEFINIDO NUEVO","OTRO"))))</f>
        <v>TERMINO INDEFINIDO NUEVO</v>
      </c>
      <c r="O272" s="42">
        <v>305</v>
      </c>
      <c r="P272" s="42">
        <v>5</v>
      </c>
      <c r="Q272" s="35" t="s">
        <v>35</v>
      </c>
      <c r="R272" s="35">
        <v>1</v>
      </c>
      <c r="S272" s="94">
        <v>3</v>
      </c>
      <c r="T272" s="42">
        <v>6</v>
      </c>
    </row>
    <row r="273" spans="1:20">
      <c r="A273" s="25" t="s">
        <v>115</v>
      </c>
      <c r="B273" s="54">
        <v>1010109926</v>
      </c>
      <c r="C273" s="25" t="s">
        <v>543</v>
      </c>
      <c r="D273" s="25" t="s">
        <v>117</v>
      </c>
      <c r="E273" s="25" t="s">
        <v>524</v>
      </c>
      <c r="F273" s="25" t="s">
        <v>544</v>
      </c>
      <c r="G273" s="26">
        <v>3283806.7690738421</v>
      </c>
      <c r="H273" s="27">
        <v>45854</v>
      </c>
      <c r="I273" s="28">
        <v>46387</v>
      </c>
      <c r="J273" s="27">
        <v>36721</v>
      </c>
      <c r="K273" s="25">
        <f t="shared" si="20"/>
        <v>-100.53888888888889</v>
      </c>
      <c r="L273" s="25">
        <f t="shared" si="21"/>
        <v>-125.54444444444445</v>
      </c>
      <c r="M273" s="73">
        <v>1</v>
      </c>
      <c r="N273" s="76" t="str">
        <f t="shared" si="22"/>
        <v>TERMINO FIJO</v>
      </c>
      <c r="O273" s="32">
        <v>203</v>
      </c>
      <c r="P273" s="55">
        <v>4</v>
      </c>
      <c r="Q273" s="25" t="s">
        <v>30</v>
      </c>
      <c r="R273" s="25">
        <v>1</v>
      </c>
      <c r="S273" s="98">
        <v>3</v>
      </c>
      <c r="T273" s="32">
        <v>6</v>
      </c>
    </row>
    <row r="274" spans="1:20">
      <c r="A274" s="36" t="s">
        <v>115</v>
      </c>
      <c r="B274" s="71">
        <v>59828805</v>
      </c>
      <c r="C274" s="36" t="s">
        <v>545</v>
      </c>
      <c r="D274" s="36" t="s">
        <v>122</v>
      </c>
      <c r="E274" s="36" t="s">
        <v>524</v>
      </c>
      <c r="F274" s="36"/>
      <c r="G274" s="37">
        <v>3283807.26</v>
      </c>
      <c r="H274" s="38">
        <v>39266</v>
      </c>
      <c r="I274" s="39"/>
      <c r="J274" s="38">
        <v>27464</v>
      </c>
      <c r="K274" s="36">
        <f t="shared" si="20"/>
        <v>-75.197222222222223</v>
      </c>
      <c r="L274" s="36">
        <f t="shared" si="21"/>
        <v>-107.50833333333334</v>
      </c>
      <c r="M274" s="40" t="s">
        <v>34</v>
      </c>
      <c r="N274" s="34" t="str">
        <f t="shared" si="22"/>
        <v>TERMINO INDEFINIDO NUEVO</v>
      </c>
      <c r="O274" s="35">
        <v>50502</v>
      </c>
      <c r="P274" s="35">
        <v>5</v>
      </c>
      <c r="Q274" s="35" t="s">
        <v>35</v>
      </c>
      <c r="R274" s="35">
        <v>1</v>
      </c>
      <c r="S274" s="43">
        <v>2</v>
      </c>
      <c r="T274" s="42">
        <v>6</v>
      </c>
    </row>
    <row r="275" spans="1:20">
      <c r="A275" s="33" t="s">
        <v>124</v>
      </c>
      <c r="B275" s="71">
        <v>5209804</v>
      </c>
      <c r="C275" s="36" t="s">
        <v>546</v>
      </c>
      <c r="D275" s="36" t="s">
        <v>126</v>
      </c>
      <c r="E275" s="36" t="s">
        <v>524</v>
      </c>
      <c r="F275" s="36" t="s">
        <v>547</v>
      </c>
      <c r="G275" s="37">
        <v>2802739.5</v>
      </c>
      <c r="H275" s="38">
        <v>38687</v>
      </c>
      <c r="I275" s="39"/>
      <c r="J275" s="38">
        <v>22939</v>
      </c>
      <c r="K275" s="36">
        <f t="shared" si="20"/>
        <v>-62.805555555555557</v>
      </c>
      <c r="L275" s="36">
        <f t="shared" si="21"/>
        <v>-105.91944444444445</v>
      </c>
      <c r="M275" s="40" t="s">
        <v>34</v>
      </c>
      <c r="N275" s="34" t="str">
        <f t="shared" si="22"/>
        <v>TERMINO INDEFINIDO NUEVO</v>
      </c>
      <c r="O275" s="35">
        <v>50501</v>
      </c>
      <c r="P275" s="35">
        <v>5</v>
      </c>
      <c r="Q275" s="35" t="s">
        <v>30</v>
      </c>
      <c r="R275" s="35">
        <v>1</v>
      </c>
      <c r="S275" s="94">
        <v>2</v>
      </c>
      <c r="T275" s="42">
        <v>6</v>
      </c>
    </row>
    <row r="276" spans="1:20">
      <c r="A276" s="33" t="s">
        <v>124</v>
      </c>
      <c r="B276" s="71">
        <v>98397739</v>
      </c>
      <c r="C276" s="36" t="s">
        <v>548</v>
      </c>
      <c r="D276" s="36" t="s">
        <v>132</v>
      </c>
      <c r="E276" s="36" t="s">
        <v>524</v>
      </c>
      <c r="F276" s="36" t="s">
        <v>549</v>
      </c>
      <c r="G276" s="37">
        <v>3283807.26</v>
      </c>
      <c r="H276" s="38">
        <v>41681</v>
      </c>
      <c r="I276" s="39"/>
      <c r="J276" s="38">
        <v>28355</v>
      </c>
      <c r="K276" s="36">
        <f t="shared" si="20"/>
        <v>-77.63333333333334</v>
      </c>
      <c r="L276" s="36">
        <f t="shared" si="21"/>
        <v>-114.11388888888889</v>
      </c>
      <c r="M276" s="40" t="s">
        <v>34</v>
      </c>
      <c r="N276" s="124" t="str">
        <f t="shared" si="22"/>
        <v>TERMINO INDEFINIDO NUEVO</v>
      </c>
      <c r="O276" s="125">
        <v>50501</v>
      </c>
      <c r="P276" s="42">
        <v>5</v>
      </c>
      <c r="Q276" s="35" t="s">
        <v>30</v>
      </c>
      <c r="R276" s="35">
        <v>1</v>
      </c>
      <c r="S276" s="160">
        <v>2</v>
      </c>
      <c r="T276" s="42">
        <v>6</v>
      </c>
    </row>
    <row r="277" spans="1:20">
      <c r="A277" s="62" t="s">
        <v>124</v>
      </c>
      <c r="B277" s="61">
        <v>98343321</v>
      </c>
      <c r="C277" s="62" t="s">
        <v>550</v>
      </c>
      <c r="D277" s="62" t="s">
        <v>126</v>
      </c>
      <c r="E277" s="62" t="s">
        <v>524</v>
      </c>
      <c r="F277" s="62" t="s">
        <v>551</v>
      </c>
      <c r="G277" s="63">
        <v>2802739.1336794067</v>
      </c>
      <c r="H277" s="64">
        <v>43517</v>
      </c>
      <c r="I277" s="65"/>
      <c r="J277" s="64">
        <v>24427</v>
      </c>
      <c r="K277" s="62">
        <f t="shared" si="20"/>
        <v>-66.87777777777778</v>
      </c>
      <c r="L277" s="62">
        <f t="shared" si="21"/>
        <v>-119.14166666666667</v>
      </c>
      <c r="M277" s="66" t="s">
        <v>34</v>
      </c>
      <c r="N277" s="67" t="str">
        <f t="shared" si="22"/>
        <v>TERMINO INDEFINIDO NUEVO</v>
      </c>
      <c r="O277" s="68">
        <v>407</v>
      </c>
      <c r="P277" s="68">
        <v>4</v>
      </c>
      <c r="Q277" s="69" t="s">
        <v>30</v>
      </c>
      <c r="R277" s="69">
        <v>1</v>
      </c>
      <c r="S277" s="70">
        <v>2</v>
      </c>
      <c r="T277" s="68">
        <v>6</v>
      </c>
    </row>
    <row r="278" spans="1:20">
      <c r="A278" s="25" t="s">
        <v>124</v>
      </c>
      <c r="B278" s="54" t="s">
        <v>552</v>
      </c>
      <c r="C278" s="25" t="s">
        <v>553</v>
      </c>
      <c r="D278" s="25" t="s">
        <v>126</v>
      </c>
      <c r="E278" s="25" t="s">
        <v>524</v>
      </c>
      <c r="F278" s="25"/>
      <c r="G278" s="26">
        <v>2802739.1336794067</v>
      </c>
      <c r="H278" s="27">
        <v>36951</v>
      </c>
      <c r="I278" s="28"/>
      <c r="J278" s="27">
        <v>27295</v>
      </c>
      <c r="K278" s="25">
        <f t="shared" si="20"/>
        <v>-74.730555555555554</v>
      </c>
      <c r="L278" s="25">
        <f t="shared" si="21"/>
        <v>-101.16944444444445</v>
      </c>
      <c r="M278" s="29">
        <v>2</v>
      </c>
      <c r="N278" s="30" t="str">
        <f t="shared" si="22"/>
        <v>TERMINO INDEFINIDO</v>
      </c>
      <c r="O278" s="29">
        <v>50503</v>
      </c>
      <c r="P278" s="29">
        <v>5</v>
      </c>
      <c r="Q278" s="29" t="s">
        <v>30</v>
      </c>
      <c r="R278" s="29">
        <v>1</v>
      </c>
      <c r="S278" s="31">
        <v>2</v>
      </c>
      <c r="T278" s="32">
        <v>5</v>
      </c>
    </row>
    <row r="279" spans="1:20">
      <c r="A279" s="104" t="s">
        <v>149</v>
      </c>
      <c r="B279" s="61">
        <v>30733331</v>
      </c>
      <c r="C279" s="62" t="s">
        <v>554</v>
      </c>
      <c r="D279" s="62" t="s">
        <v>151</v>
      </c>
      <c r="E279" s="62" t="s">
        <v>524</v>
      </c>
      <c r="F279" s="62"/>
      <c r="G279" s="63">
        <v>3415094.5981706623</v>
      </c>
      <c r="H279" s="64">
        <v>42879</v>
      </c>
      <c r="I279" s="65"/>
      <c r="J279" s="64">
        <v>24207</v>
      </c>
      <c r="K279" s="62">
        <f t="shared" si="20"/>
        <v>-66.277777777777771</v>
      </c>
      <c r="L279" s="62">
        <f t="shared" si="21"/>
        <v>-117.4</v>
      </c>
      <c r="M279" s="66" t="s">
        <v>34</v>
      </c>
      <c r="N279" s="74" t="str">
        <f t="shared" si="22"/>
        <v>TERMINO INDEFINIDO NUEVO</v>
      </c>
      <c r="O279" s="69">
        <v>50501</v>
      </c>
      <c r="P279" s="69">
        <v>5</v>
      </c>
      <c r="Q279" s="69" t="s">
        <v>35</v>
      </c>
      <c r="R279" s="69">
        <v>1</v>
      </c>
      <c r="S279" s="75">
        <v>2</v>
      </c>
      <c r="T279" s="68">
        <v>6</v>
      </c>
    </row>
    <row r="280" spans="1:20">
      <c r="A280" s="161" t="s">
        <v>277</v>
      </c>
      <c r="B280" s="71">
        <v>98196446</v>
      </c>
      <c r="C280" s="36" t="s">
        <v>555</v>
      </c>
      <c r="D280" s="36" t="s">
        <v>211</v>
      </c>
      <c r="E280" s="36" t="s">
        <v>524</v>
      </c>
      <c r="F280" s="36"/>
      <c r="G280" s="37">
        <v>2800872.1937719388</v>
      </c>
      <c r="H280" s="38">
        <v>40940</v>
      </c>
      <c r="I280" s="39"/>
      <c r="J280" s="38">
        <v>29693</v>
      </c>
      <c r="K280" s="36">
        <f t="shared" si="20"/>
        <v>-81.297222222222217</v>
      </c>
      <c r="L280" s="36">
        <f t="shared" si="21"/>
        <v>-112.08611111111111</v>
      </c>
      <c r="M280" s="40" t="s">
        <v>34</v>
      </c>
      <c r="N280" s="34" t="str">
        <f t="shared" si="22"/>
        <v>TERMINO INDEFINIDO NUEVO</v>
      </c>
      <c r="O280" s="35">
        <v>50502</v>
      </c>
      <c r="P280" s="35">
        <v>5</v>
      </c>
      <c r="Q280" s="35" t="s">
        <v>30</v>
      </c>
      <c r="R280" s="35">
        <v>2</v>
      </c>
      <c r="S280" s="43">
        <v>2</v>
      </c>
      <c r="T280" s="42">
        <v>7</v>
      </c>
    </row>
    <row r="281" spans="1:20">
      <c r="A281" s="25" t="s">
        <v>86</v>
      </c>
      <c r="B281" s="54">
        <v>5203805</v>
      </c>
      <c r="C281" s="25" t="s">
        <v>556</v>
      </c>
      <c r="D281" s="25" t="s">
        <v>557</v>
      </c>
      <c r="E281" s="25" t="s">
        <v>296</v>
      </c>
      <c r="F281" s="25" t="s">
        <v>558</v>
      </c>
      <c r="G281" s="26">
        <v>30903295</v>
      </c>
      <c r="H281" s="27">
        <v>35818</v>
      </c>
      <c r="I281" s="28"/>
      <c r="J281" s="27">
        <v>28703</v>
      </c>
      <c r="K281" s="25">
        <f>(DAYS360(J281,$K$1))/360</f>
        <v>-78.586111111111109</v>
      </c>
      <c r="L281" s="25">
        <f>(DAYS360(H281,$K$1))/360</f>
        <v>-98.063888888888883</v>
      </c>
      <c r="M281" s="29">
        <v>3</v>
      </c>
      <c r="N281" s="30" t="str">
        <f t="shared" si="22"/>
        <v>SALARIO INTEGRAL</v>
      </c>
      <c r="O281" s="29">
        <v>603</v>
      </c>
      <c r="P281" s="29">
        <v>4</v>
      </c>
      <c r="Q281" s="29" t="s">
        <v>30</v>
      </c>
      <c r="R281" s="29">
        <v>1</v>
      </c>
      <c r="S281" s="31">
        <v>5</v>
      </c>
      <c r="T281" s="32">
        <v>1</v>
      </c>
    </row>
    <row r="282" spans="1:20">
      <c r="A282" s="33" t="s">
        <v>62</v>
      </c>
      <c r="B282" s="71">
        <v>36952144</v>
      </c>
      <c r="C282" s="36" t="s">
        <v>559</v>
      </c>
      <c r="D282" s="36" t="s">
        <v>64</v>
      </c>
      <c r="E282" s="36" t="s">
        <v>293</v>
      </c>
      <c r="F282" s="36" t="s">
        <v>560</v>
      </c>
      <c r="G282" s="37">
        <v>4170489.66</v>
      </c>
      <c r="H282" s="38">
        <v>42389</v>
      </c>
      <c r="I282" s="39"/>
      <c r="J282" s="38">
        <v>29613</v>
      </c>
      <c r="K282" s="36">
        <f>(DAYS360(J282,$K$1))/360</f>
        <v>-81.075000000000003</v>
      </c>
      <c r="L282" s="36">
        <f>(DAYS360(H282,$K$1))/360</f>
        <v>-116.05555555555556</v>
      </c>
      <c r="M282" s="40" t="s">
        <v>34</v>
      </c>
      <c r="N282" s="41" t="str">
        <f t="shared" si="22"/>
        <v>TERMINO INDEFINIDO NUEVO</v>
      </c>
      <c r="O282" s="42">
        <v>604</v>
      </c>
      <c r="P282" s="42">
        <v>4</v>
      </c>
      <c r="Q282" s="35" t="s">
        <v>35</v>
      </c>
      <c r="R282" s="35">
        <v>1</v>
      </c>
      <c r="S282" s="43">
        <v>2</v>
      </c>
      <c r="T282" s="42">
        <v>6</v>
      </c>
    </row>
    <row r="283" spans="1:20">
      <c r="A283" s="25" t="s">
        <v>162</v>
      </c>
      <c r="B283" s="25" t="s">
        <v>561</v>
      </c>
      <c r="C283" s="25" t="s">
        <v>562</v>
      </c>
      <c r="D283" s="25" t="s">
        <v>165</v>
      </c>
      <c r="E283" s="25" t="s">
        <v>563</v>
      </c>
      <c r="F283" s="25"/>
      <c r="G283" s="26">
        <v>25016832</v>
      </c>
      <c r="H283" s="27">
        <v>38534</v>
      </c>
      <c r="I283" s="28"/>
      <c r="J283" s="27">
        <v>21275</v>
      </c>
      <c r="K283" s="25">
        <f>(DAYS360(J283,$K$1))/360</f>
        <v>-58.25</v>
      </c>
      <c r="L283" s="25">
        <f>(DAYS360(H283,$K$1))/360</f>
        <v>-105.50277777777778</v>
      </c>
      <c r="M283" s="29">
        <v>3</v>
      </c>
      <c r="N283" s="30" t="str">
        <f t="shared" si="22"/>
        <v>SALARIO INTEGRAL</v>
      </c>
      <c r="O283" s="29">
        <v>604</v>
      </c>
      <c r="P283" s="29">
        <v>5</v>
      </c>
      <c r="Q283" s="29" t="s">
        <v>30</v>
      </c>
      <c r="R283" s="29">
        <v>1</v>
      </c>
      <c r="S283" s="31">
        <v>6</v>
      </c>
      <c r="T283" s="32">
        <v>3</v>
      </c>
    </row>
    <row r="284" spans="1:20">
      <c r="A284" s="117" t="s">
        <v>564</v>
      </c>
      <c r="B284" s="54" t="s">
        <v>565</v>
      </c>
      <c r="C284" s="25" t="s">
        <v>566</v>
      </c>
      <c r="D284" s="25" t="s">
        <v>567</v>
      </c>
      <c r="E284" s="25" t="s">
        <v>563</v>
      </c>
      <c r="F284" s="25" t="s">
        <v>568</v>
      </c>
      <c r="G284" s="26">
        <v>10996290.747130178</v>
      </c>
      <c r="H284" s="81">
        <v>36196</v>
      </c>
      <c r="I284" s="82"/>
      <c r="J284" s="27">
        <v>25531</v>
      </c>
      <c r="K284" s="25">
        <f t="shared" ref="K284:K293" si="23">(DAYS360(J284,$K$1))/360</f>
        <v>-69.900000000000006</v>
      </c>
      <c r="L284" s="25">
        <f t="shared" ref="L284:L293" si="24">(DAYS360(H284,$K$1))/360</f>
        <v>-99.097222222222229</v>
      </c>
      <c r="M284" s="29">
        <v>2</v>
      </c>
      <c r="N284" s="30" t="str">
        <f t="shared" si="22"/>
        <v>TERMINO INDEFINIDO</v>
      </c>
      <c r="O284" s="29">
        <v>604</v>
      </c>
      <c r="P284" s="29">
        <v>5</v>
      </c>
      <c r="Q284" s="29" t="s">
        <v>35</v>
      </c>
      <c r="R284" s="29">
        <v>1</v>
      </c>
      <c r="S284" s="31">
        <v>7</v>
      </c>
      <c r="T284" s="32">
        <v>3</v>
      </c>
    </row>
    <row r="285" spans="1:20">
      <c r="A285" s="25" t="s">
        <v>67</v>
      </c>
      <c r="B285" s="54" t="s">
        <v>569</v>
      </c>
      <c r="C285" s="25" t="s">
        <v>570</v>
      </c>
      <c r="D285" s="25" t="s">
        <v>69</v>
      </c>
      <c r="E285" s="25" t="s">
        <v>563</v>
      </c>
      <c r="F285" s="25" t="s">
        <v>571</v>
      </c>
      <c r="G285" s="26">
        <v>9446509.4700000007</v>
      </c>
      <c r="H285" s="27">
        <v>35870</v>
      </c>
      <c r="I285" s="82"/>
      <c r="J285" s="27">
        <v>25142</v>
      </c>
      <c r="K285" s="25">
        <f>(DAYS360(J285,$K$1))/360</f>
        <v>-68.833333333333329</v>
      </c>
      <c r="L285" s="25">
        <f>(DAYS360(H285,$K$1))/360</f>
        <v>-98.211111111111109</v>
      </c>
      <c r="M285" s="29">
        <v>2</v>
      </c>
      <c r="N285" s="57" t="str">
        <f t="shared" si="22"/>
        <v>TERMINO INDEFINIDO</v>
      </c>
      <c r="O285" s="58">
        <v>203</v>
      </c>
      <c r="P285" s="32">
        <v>5</v>
      </c>
      <c r="Q285" s="29" t="s">
        <v>35</v>
      </c>
      <c r="R285" s="29">
        <v>1</v>
      </c>
      <c r="S285" s="59">
        <v>6</v>
      </c>
      <c r="T285" s="32">
        <v>4</v>
      </c>
    </row>
    <row r="286" spans="1:20">
      <c r="A286" s="25" t="s">
        <v>45</v>
      </c>
      <c r="B286" s="54" t="s">
        <v>572</v>
      </c>
      <c r="C286" s="25" t="s">
        <v>573</v>
      </c>
      <c r="D286" s="25" t="s">
        <v>48</v>
      </c>
      <c r="E286" s="25" t="s">
        <v>563</v>
      </c>
      <c r="F286" s="25"/>
      <c r="G286" s="26">
        <v>6967259.1464534989</v>
      </c>
      <c r="H286" s="81">
        <v>36601</v>
      </c>
      <c r="I286" s="82"/>
      <c r="J286" s="27">
        <v>28657</v>
      </c>
      <c r="K286" s="25">
        <f t="shared" si="23"/>
        <v>-78.461111111111109</v>
      </c>
      <c r="L286" s="25">
        <f t="shared" si="24"/>
        <v>-100.21111111111111</v>
      </c>
      <c r="M286" s="29">
        <v>2</v>
      </c>
      <c r="N286" s="57" t="str">
        <f t="shared" si="22"/>
        <v>TERMINO INDEFINIDO</v>
      </c>
      <c r="O286" s="58">
        <v>604</v>
      </c>
      <c r="P286" s="32">
        <v>5</v>
      </c>
      <c r="Q286" s="29" t="s">
        <v>35</v>
      </c>
      <c r="R286" s="29">
        <v>1</v>
      </c>
      <c r="S286" s="59">
        <v>5</v>
      </c>
      <c r="T286" s="32">
        <v>6</v>
      </c>
    </row>
    <row r="287" spans="1:20">
      <c r="A287" s="25" t="s">
        <v>45</v>
      </c>
      <c r="B287" s="54" t="s">
        <v>574</v>
      </c>
      <c r="C287" s="25" t="s">
        <v>575</v>
      </c>
      <c r="D287" s="25" t="s">
        <v>48</v>
      </c>
      <c r="E287" s="25" t="s">
        <v>563</v>
      </c>
      <c r="F287" s="25" t="s">
        <v>576</v>
      </c>
      <c r="G287" s="26">
        <v>6967259.7986902911</v>
      </c>
      <c r="H287" s="27">
        <v>33192</v>
      </c>
      <c r="I287" s="28"/>
      <c r="J287" s="27">
        <v>26765</v>
      </c>
      <c r="K287" s="25">
        <f t="shared" si="23"/>
        <v>-73.280555555555551</v>
      </c>
      <c r="L287" s="25">
        <f t="shared" si="24"/>
        <v>-90.875</v>
      </c>
      <c r="M287" s="29">
        <v>2</v>
      </c>
      <c r="N287" s="30" t="str">
        <f t="shared" si="22"/>
        <v>TERMINO INDEFINIDO</v>
      </c>
      <c r="O287" s="29">
        <v>604</v>
      </c>
      <c r="P287" s="29">
        <v>5</v>
      </c>
      <c r="Q287" s="29" t="s">
        <v>35</v>
      </c>
      <c r="R287" s="29">
        <v>1</v>
      </c>
      <c r="S287" s="31">
        <v>5</v>
      </c>
      <c r="T287" s="32">
        <v>4</v>
      </c>
    </row>
    <row r="288" spans="1:20" ht="42">
      <c r="A288" s="25" t="s">
        <v>36</v>
      </c>
      <c r="B288" s="89">
        <v>59833292</v>
      </c>
      <c r="C288" s="89" t="s">
        <v>577</v>
      </c>
      <c r="D288" s="25" t="s">
        <v>38</v>
      </c>
      <c r="E288" s="25" t="s">
        <v>563</v>
      </c>
      <c r="F288" s="25" t="s">
        <v>578</v>
      </c>
      <c r="G288" s="26">
        <v>3707009.67</v>
      </c>
      <c r="H288" s="27">
        <v>46030</v>
      </c>
      <c r="I288" s="28">
        <v>46295</v>
      </c>
      <c r="J288" s="27">
        <v>27823</v>
      </c>
      <c r="K288" s="25">
        <f>(DAYS360(J288,$K$1))/360</f>
        <v>-76.177777777777777</v>
      </c>
      <c r="L288" s="93">
        <f>(DAYS360(H288,$K$1))/360</f>
        <v>-126.02222222222223</v>
      </c>
      <c r="M288" s="73">
        <v>1</v>
      </c>
      <c r="N288" s="57" t="str">
        <f t="shared" si="22"/>
        <v>TERMINO FIJO</v>
      </c>
      <c r="O288" s="58">
        <v>604</v>
      </c>
      <c r="P288" s="32">
        <v>5</v>
      </c>
      <c r="Q288" s="29" t="s">
        <v>35</v>
      </c>
      <c r="R288" s="29">
        <v>1</v>
      </c>
      <c r="S288" s="59">
        <v>4</v>
      </c>
      <c r="T288" s="32">
        <v>6</v>
      </c>
    </row>
    <row r="289" spans="1:20">
      <c r="A289" s="25" t="s">
        <v>36</v>
      </c>
      <c r="B289" s="54">
        <v>1144134327</v>
      </c>
      <c r="C289" s="25" t="s">
        <v>579</v>
      </c>
      <c r="D289" s="25" t="s">
        <v>61</v>
      </c>
      <c r="E289" s="25" t="s">
        <v>563</v>
      </c>
      <c r="F289" s="25" t="s">
        <v>580</v>
      </c>
      <c r="G289" s="26">
        <v>3707035.5</v>
      </c>
      <c r="H289" s="80">
        <v>45749</v>
      </c>
      <c r="I289" s="28">
        <v>46387</v>
      </c>
      <c r="J289" s="27">
        <v>32804</v>
      </c>
      <c r="K289" s="25">
        <f>(DAYS360(J289,$K$1))/360</f>
        <v>-89.813888888888883</v>
      </c>
      <c r="L289" s="25">
        <f>(DAYS360(H289,$K$1))/360</f>
        <v>-125.25555555555556</v>
      </c>
      <c r="M289" s="73">
        <v>1</v>
      </c>
      <c r="N289" s="76" t="str">
        <f t="shared" si="22"/>
        <v>TERMINO FIJO</v>
      </c>
      <c r="O289" s="32">
        <v>604</v>
      </c>
      <c r="P289" s="32">
        <v>3</v>
      </c>
      <c r="Q289" s="29" t="s">
        <v>30</v>
      </c>
      <c r="R289" s="29">
        <v>1</v>
      </c>
      <c r="S289" s="122">
        <v>5</v>
      </c>
      <c r="T289" s="32">
        <v>5</v>
      </c>
    </row>
    <row r="290" spans="1:20">
      <c r="A290" s="24" t="s">
        <v>277</v>
      </c>
      <c r="B290" s="54">
        <v>1004538919</v>
      </c>
      <c r="C290" s="25" t="s">
        <v>581</v>
      </c>
      <c r="D290" s="25" t="s">
        <v>211</v>
      </c>
      <c r="E290" s="25" t="s">
        <v>563</v>
      </c>
      <c r="F290" s="25" t="s">
        <v>582</v>
      </c>
      <c r="G290" s="26">
        <v>2800873.59</v>
      </c>
      <c r="H290" s="27">
        <v>46057</v>
      </c>
      <c r="I290" s="28">
        <v>46295</v>
      </c>
      <c r="J290" s="27">
        <v>37246</v>
      </c>
      <c r="K290" s="36">
        <f t="shared" si="23"/>
        <v>-101.97499999999999</v>
      </c>
      <c r="L290" s="36">
        <f t="shared" si="24"/>
        <v>-126.09444444444445</v>
      </c>
      <c r="M290" s="73">
        <v>1</v>
      </c>
      <c r="N290" s="30" t="str">
        <f t="shared" si="22"/>
        <v>TERMINO FIJO</v>
      </c>
      <c r="O290" s="29">
        <v>604</v>
      </c>
      <c r="P290" s="29">
        <v>5</v>
      </c>
      <c r="Q290" s="29" t="s">
        <v>35</v>
      </c>
      <c r="R290" s="29">
        <v>1</v>
      </c>
      <c r="S290" s="59">
        <v>2</v>
      </c>
      <c r="T290" s="32">
        <v>7</v>
      </c>
    </row>
    <row r="291" spans="1:20">
      <c r="A291" s="33" t="s">
        <v>277</v>
      </c>
      <c r="B291" s="34">
        <v>12993134</v>
      </c>
      <c r="C291" s="35" t="s">
        <v>583</v>
      </c>
      <c r="D291" s="36" t="s">
        <v>211</v>
      </c>
      <c r="E291" s="36" t="s">
        <v>563</v>
      </c>
      <c r="F291" s="36"/>
      <c r="G291" s="37">
        <v>2800872.1689627995</v>
      </c>
      <c r="H291" s="38">
        <v>40848</v>
      </c>
      <c r="I291" s="39"/>
      <c r="J291" s="38">
        <v>24645</v>
      </c>
      <c r="K291" s="36">
        <f t="shared" si="23"/>
        <v>-67.477777777777774</v>
      </c>
      <c r="L291" s="36">
        <f t="shared" si="24"/>
        <v>-111.83611111111111</v>
      </c>
      <c r="M291" s="40" t="s">
        <v>34</v>
      </c>
      <c r="N291" s="124" t="str">
        <f t="shared" si="22"/>
        <v>TERMINO INDEFINIDO NUEVO</v>
      </c>
      <c r="O291" s="125">
        <v>604</v>
      </c>
      <c r="P291" s="42">
        <v>5</v>
      </c>
      <c r="Q291" s="35" t="s">
        <v>30</v>
      </c>
      <c r="R291" s="35">
        <v>2</v>
      </c>
      <c r="S291" s="94">
        <v>2</v>
      </c>
      <c r="T291" s="42">
        <v>6</v>
      </c>
    </row>
    <row r="292" spans="1:20">
      <c r="A292" s="105" t="s">
        <v>149</v>
      </c>
      <c r="B292" s="45">
        <v>1085299316</v>
      </c>
      <c r="C292" s="44" t="s">
        <v>584</v>
      </c>
      <c r="D292" s="44" t="s">
        <v>151</v>
      </c>
      <c r="E292" s="44" t="s">
        <v>563</v>
      </c>
      <c r="F292" s="44" t="s">
        <v>44</v>
      </c>
      <c r="G292" s="46">
        <v>3415094.32574475</v>
      </c>
      <c r="H292" s="47">
        <v>45314</v>
      </c>
      <c r="I292" s="48"/>
      <c r="J292" s="47">
        <v>33858</v>
      </c>
      <c r="K292" s="44">
        <f>(DAYS360(J292,$K$1))/360</f>
        <v>-92.697222222222223</v>
      </c>
      <c r="L292" s="44">
        <f>(DAYS360(H292,$K$1))/360</f>
        <v>-124.06388888888888</v>
      </c>
      <c r="M292" s="49" t="s">
        <v>34</v>
      </c>
      <c r="N292" s="50" t="str">
        <f t="shared" si="22"/>
        <v>TERMINO INDEFINIDO NUEVO</v>
      </c>
      <c r="O292" s="51">
        <v>604</v>
      </c>
      <c r="P292" s="51">
        <v>5</v>
      </c>
      <c r="Q292" s="51" t="s">
        <v>35</v>
      </c>
      <c r="R292" s="51">
        <v>2</v>
      </c>
      <c r="S292" s="97">
        <v>3</v>
      </c>
      <c r="T292" s="53">
        <v>6</v>
      </c>
    </row>
    <row r="293" spans="1:20">
      <c r="A293" s="24" t="s">
        <v>124</v>
      </c>
      <c r="B293" s="54"/>
      <c r="C293" s="25" t="s">
        <v>204</v>
      </c>
      <c r="D293" s="25" t="s">
        <v>126</v>
      </c>
      <c r="E293" s="25" t="s">
        <v>563</v>
      </c>
      <c r="F293" s="25"/>
      <c r="G293" s="26">
        <v>2802739.64234913</v>
      </c>
      <c r="H293" s="27"/>
      <c r="I293" s="28"/>
      <c r="J293" s="27"/>
      <c r="K293" s="25">
        <f t="shared" si="23"/>
        <v>0</v>
      </c>
      <c r="L293" s="25">
        <f t="shared" si="24"/>
        <v>0</v>
      </c>
      <c r="M293" s="73">
        <v>91</v>
      </c>
      <c r="N293" s="76" t="str">
        <f t="shared" si="22"/>
        <v>OTRO</v>
      </c>
      <c r="O293" s="32">
        <v>604</v>
      </c>
      <c r="P293" s="32"/>
      <c r="Q293" s="29"/>
      <c r="R293" s="29"/>
      <c r="S293" s="31"/>
      <c r="T293" s="32"/>
    </row>
    <row r="294" spans="1:20">
      <c r="A294" s="33" t="s">
        <v>153</v>
      </c>
      <c r="B294" s="71">
        <v>36950879</v>
      </c>
      <c r="C294" s="36" t="s">
        <v>585</v>
      </c>
      <c r="D294" s="36" t="s">
        <v>155</v>
      </c>
      <c r="E294" s="36" t="s">
        <v>563</v>
      </c>
      <c r="F294" s="36"/>
      <c r="G294" s="37">
        <v>3120218.4913464608</v>
      </c>
      <c r="H294" s="38">
        <v>39541</v>
      </c>
      <c r="I294" s="39"/>
      <c r="J294" s="38">
        <v>29250</v>
      </c>
      <c r="K294" s="36">
        <f>(DAYS360(J294,$K$1))/360</f>
        <v>-80.083333333333329</v>
      </c>
      <c r="L294" s="36">
        <f>(DAYS360(H294,$K$1))/360</f>
        <v>-108.25833333333334</v>
      </c>
      <c r="M294" s="40" t="s">
        <v>34</v>
      </c>
      <c r="N294" s="41" t="str">
        <f t="shared" si="22"/>
        <v>TERMINO INDEFINIDO NUEVO</v>
      </c>
      <c r="O294" s="42">
        <v>404</v>
      </c>
      <c r="P294" s="42">
        <v>4</v>
      </c>
      <c r="Q294" s="35" t="s">
        <v>35</v>
      </c>
      <c r="R294" s="35">
        <v>1</v>
      </c>
      <c r="S294" s="94">
        <v>5</v>
      </c>
      <c r="T294" s="42">
        <v>6</v>
      </c>
    </row>
    <row r="295" spans="1:20">
      <c r="A295" s="25" t="s">
        <v>67</v>
      </c>
      <c r="B295" s="54">
        <v>75065793</v>
      </c>
      <c r="C295" s="25" t="s">
        <v>586</v>
      </c>
      <c r="D295" s="25" t="s">
        <v>69</v>
      </c>
      <c r="E295" s="25" t="s">
        <v>587</v>
      </c>
      <c r="F295" s="25"/>
      <c r="G295" s="26">
        <v>9446509.4700000007</v>
      </c>
      <c r="H295" s="27">
        <v>34603</v>
      </c>
      <c r="I295" s="28"/>
      <c r="J295" s="27">
        <v>26339</v>
      </c>
      <c r="K295" s="25">
        <f>(DAYS360(J295,$K$1))/360</f>
        <v>-72.111111111111114</v>
      </c>
      <c r="L295" s="25">
        <f>(DAYS360(H295,$K$1))/360</f>
        <v>-94.738888888888894</v>
      </c>
      <c r="M295" s="29">
        <v>2</v>
      </c>
      <c r="N295" s="30" t="str">
        <f t="shared" si="22"/>
        <v>TERMINO INDEFINIDO</v>
      </c>
      <c r="O295" s="29">
        <v>183</v>
      </c>
      <c r="P295" s="29">
        <v>5</v>
      </c>
      <c r="Q295" s="29" t="s">
        <v>30</v>
      </c>
      <c r="R295" s="29">
        <v>1</v>
      </c>
      <c r="S295" s="91">
        <v>6</v>
      </c>
      <c r="T295" s="32">
        <v>4</v>
      </c>
    </row>
    <row r="296" spans="1:20">
      <c r="A296" s="25" t="s">
        <v>45</v>
      </c>
      <c r="B296" s="54" t="s">
        <v>588</v>
      </c>
      <c r="C296" s="25" t="s">
        <v>589</v>
      </c>
      <c r="D296" s="25" t="s">
        <v>75</v>
      </c>
      <c r="E296" s="25" t="s">
        <v>587</v>
      </c>
      <c r="F296" s="25"/>
      <c r="G296" s="26">
        <v>6967259.9699999997</v>
      </c>
      <c r="H296" s="27">
        <v>35582</v>
      </c>
      <c r="I296" s="28"/>
      <c r="J296" s="27">
        <v>26896</v>
      </c>
      <c r="K296" s="25">
        <f>(DAYS360(J296,$K$1))/360</f>
        <v>-73.638888888888886</v>
      </c>
      <c r="L296" s="55">
        <f>(DAYS360(H296,$K$1))/360</f>
        <v>-97.419444444444451</v>
      </c>
      <c r="M296" s="29">
        <v>2</v>
      </c>
      <c r="N296" s="57" t="str">
        <f t="shared" si="22"/>
        <v>TERMINO INDEFINIDO</v>
      </c>
      <c r="O296" s="58">
        <v>605</v>
      </c>
      <c r="P296" s="32">
        <v>5</v>
      </c>
      <c r="Q296" s="29" t="s">
        <v>35</v>
      </c>
      <c r="R296" s="29">
        <v>1</v>
      </c>
      <c r="S296" s="59">
        <v>5</v>
      </c>
      <c r="T296" s="32">
        <v>4</v>
      </c>
    </row>
    <row r="297" spans="1:20">
      <c r="A297" s="25" t="s">
        <v>45</v>
      </c>
      <c r="B297" s="54" t="s">
        <v>590</v>
      </c>
      <c r="C297" s="25" t="s">
        <v>591</v>
      </c>
      <c r="D297" s="25" t="s">
        <v>48</v>
      </c>
      <c r="E297" s="25" t="s">
        <v>587</v>
      </c>
      <c r="F297" s="25"/>
      <c r="G297" s="26">
        <v>6967259.7986902911</v>
      </c>
      <c r="H297" s="80">
        <v>35982</v>
      </c>
      <c r="I297" s="28"/>
      <c r="J297" s="27">
        <v>24920</v>
      </c>
      <c r="K297" s="25">
        <f>(DAYS360(J297,$K$1))/360</f>
        <v>-68.230555555555554</v>
      </c>
      <c r="L297" s="25">
        <f>(DAYS360(H297,$K$1))/360</f>
        <v>-98.516666666666666</v>
      </c>
      <c r="M297" s="29">
        <v>2</v>
      </c>
      <c r="N297" s="57" t="str">
        <f t="shared" si="22"/>
        <v>TERMINO INDEFINIDO</v>
      </c>
      <c r="O297" s="58">
        <v>605</v>
      </c>
      <c r="P297" s="32">
        <v>3</v>
      </c>
      <c r="Q297" s="29" t="s">
        <v>30</v>
      </c>
      <c r="R297" s="29">
        <v>1</v>
      </c>
      <c r="S297" s="122">
        <v>5</v>
      </c>
      <c r="T297" s="32">
        <v>4</v>
      </c>
    </row>
    <row r="298" spans="1:20">
      <c r="A298" s="25" t="s">
        <v>185</v>
      </c>
      <c r="B298" s="54" t="s">
        <v>592</v>
      </c>
      <c r="C298" s="25" t="s">
        <v>593</v>
      </c>
      <c r="D298" s="25" t="s">
        <v>191</v>
      </c>
      <c r="E298" s="25" t="s">
        <v>587</v>
      </c>
      <c r="F298" s="25"/>
      <c r="G298" s="26">
        <v>6063366.1799999997</v>
      </c>
      <c r="H298" s="27">
        <v>32946</v>
      </c>
      <c r="I298" s="28"/>
      <c r="J298" s="27">
        <v>23892</v>
      </c>
      <c r="K298" s="25">
        <f t="shared" ref="K298:K310" si="25">(DAYS360(J298,$K$1))/360</f>
        <v>-65.416666666666671</v>
      </c>
      <c r="L298" s="55">
        <f t="shared" ref="L298:L310" si="26">(DAYS360(H298,$K$1))/360</f>
        <v>-90.205555555555549</v>
      </c>
      <c r="M298" s="29">
        <v>2</v>
      </c>
      <c r="N298" s="57" t="str">
        <f t="shared" si="22"/>
        <v>TERMINO INDEFINIDO</v>
      </c>
      <c r="O298" s="58">
        <v>605</v>
      </c>
      <c r="P298" s="32">
        <v>5</v>
      </c>
      <c r="Q298" s="29" t="s">
        <v>35</v>
      </c>
      <c r="R298" s="29">
        <v>1</v>
      </c>
      <c r="S298" s="59">
        <v>5</v>
      </c>
      <c r="T298" s="32">
        <v>4</v>
      </c>
    </row>
    <row r="299" spans="1:20">
      <c r="A299" s="25" t="s">
        <v>185</v>
      </c>
      <c r="B299" s="54" t="s">
        <v>594</v>
      </c>
      <c r="C299" s="25" t="s">
        <v>595</v>
      </c>
      <c r="D299" s="25" t="s">
        <v>188</v>
      </c>
      <c r="E299" s="25" t="s">
        <v>587</v>
      </c>
      <c r="F299" s="25" t="s">
        <v>72</v>
      </c>
      <c r="G299" s="26">
        <v>6063365.5649999995</v>
      </c>
      <c r="H299" s="27">
        <v>36624</v>
      </c>
      <c r="I299" s="28"/>
      <c r="J299" s="27">
        <v>28391</v>
      </c>
      <c r="K299" s="25">
        <f t="shared" si="25"/>
        <v>-77.730555555555554</v>
      </c>
      <c r="L299" s="55">
        <f t="shared" si="26"/>
        <v>-100.27222222222223</v>
      </c>
      <c r="M299" s="29">
        <v>2</v>
      </c>
      <c r="N299" s="30" t="str">
        <f t="shared" si="22"/>
        <v>TERMINO INDEFINIDO</v>
      </c>
      <c r="O299" s="29">
        <v>605</v>
      </c>
      <c r="P299" s="29">
        <v>4</v>
      </c>
      <c r="Q299" s="29" t="s">
        <v>35</v>
      </c>
      <c r="R299" s="29">
        <v>1</v>
      </c>
      <c r="S299" s="31">
        <v>5</v>
      </c>
      <c r="T299" s="32">
        <v>6</v>
      </c>
    </row>
    <row r="300" spans="1:20">
      <c r="A300" s="25" t="s">
        <v>134</v>
      </c>
      <c r="B300" s="25" t="s">
        <v>596</v>
      </c>
      <c r="C300" s="25" t="s">
        <v>597</v>
      </c>
      <c r="D300" s="25" t="s">
        <v>137</v>
      </c>
      <c r="E300" s="25" t="s">
        <v>587</v>
      </c>
      <c r="F300" s="25"/>
      <c r="G300" s="26">
        <v>5637209.9356840365</v>
      </c>
      <c r="H300" s="27">
        <v>31650</v>
      </c>
      <c r="I300" s="28"/>
      <c r="J300" s="27">
        <v>23568</v>
      </c>
      <c r="K300" s="25">
        <f t="shared" si="25"/>
        <v>-64.527777777777771</v>
      </c>
      <c r="L300" s="55">
        <f t="shared" si="26"/>
        <v>-86.655555555555551</v>
      </c>
      <c r="M300" s="29">
        <v>2</v>
      </c>
      <c r="N300" s="30" t="str">
        <f t="shared" si="22"/>
        <v>TERMINO INDEFINIDO</v>
      </c>
      <c r="O300" s="29">
        <v>605</v>
      </c>
      <c r="P300" s="29">
        <v>5</v>
      </c>
      <c r="Q300" s="29" t="s">
        <v>30</v>
      </c>
      <c r="R300" s="29">
        <v>1</v>
      </c>
      <c r="S300" s="59">
        <v>2</v>
      </c>
      <c r="T300" s="32">
        <v>6</v>
      </c>
    </row>
    <row r="301" spans="1:20">
      <c r="A301" s="24" t="s">
        <v>409</v>
      </c>
      <c r="B301" s="54" t="s">
        <v>598</v>
      </c>
      <c r="C301" s="25" t="s">
        <v>599</v>
      </c>
      <c r="D301" s="25" t="s">
        <v>411</v>
      </c>
      <c r="E301" s="25" t="s">
        <v>587</v>
      </c>
      <c r="F301" s="25"/>
      <c r="G301" s="26">
        <v>3231586.9520465797</v>
      </c>
      <c r="H301" s="27">
        <v>35927</v>
      </c>
      <c r="I301" s="28"/>
      <c r="J301" s="27">
        <v>24848</v>
      </c>
      <c r="K301" s="25">
        <f t="shared" si="25"/>
        <v>-68.030555555555551</v>
      </c>
      <c r="L301" s="55">
        <f t="shared" si="26"/>
        <v>-98.36666666666666</v>
      </c>
      <c r="M301" s="29">
        <v>2</v>
      </c>
      <c r="N301" s="57" t="str">
        <f t="shared" si="22"/>
        <v>TERMINO INDEFINIDO</v>
      </c>
      <c r="O301" s="58">
        <v>605</v>
      </c>
      <c r="P301" s="32">
        <v>5</v>
      </c>
      <c r="Q301" s="29" t="s">
        <v>30</v>
      </c>
      <c r="R301" s="29">
        <v>2</v>
      </c>
      <c r="S301" s="59">
        <v>3</v>
      </c>
      <c r="T301" s="32">
        <v>5</v>
      </c>
    </row>
    <row r="302" spans="1:20">
      <c r="A302" s="36" t="s">
        <v>115</v>
      </c>
      <c r="B302" s="71">
        <v>87069565</v>
      </c>
      <c r="C302" s="36" t="s">
        <v>600</v>
      </c>
      <c r="D302" s="36" t="s">
        <v>61</v>
      </c>
      <c r="E302" s="36" t="s">
        <v>93</v>
      </c>
      <c r="F302" s="36" t="s">
        <v>601</v>
      </c>
      <c r="G302" s="37">
        <v>3283806.7690738421</v>
      </c>
      <c r="H302" s="38">
        <v>41338</v>
      </c>
      <c r="I302" s="39"/>
      <c r="J302" s="38">
        <v>31219</v>
      </c>
      <c r="K302" s="25">
        <f t="shared" si="25"/>
        <v>-85.474999999999994</v>
      </c>
      <c r="L302" s="25">
        <f t="shared" si="26"/>
        <v>-113.18055555555556</v>
      </c>
      <c r="M302" s="40" t="s">
        <v>34</v>
      </c>
      <c r="N302" s="34" t="str">
        <f t="shared" si="22"/>
        <v>TERMINO INDEFINIDO NUEVO</v>
      </c>
      <c r="O302" s="35">
        <v>305</v>
      </c>
      <c r="P302" s="42">
        <v>4</v>
      </c>
      <c r="Q302" s="35" t="s">
        <v>30</v>
      </c>
      <c r="R302" s="35">
        <v>1</v>
      </c>
      <c r="S302" s="94">
        <v>3</v>
      </c>
      <c r="T302" s="42">
        <v>6</v>
      </c>
    </row>
    <row r="303" spans="1:20">
      <c r="A303" s="25" t="s">
        <v>115</v>
      </c>
      <c r="B303" s="54" t="s">
        <v>602</v>
      </c>
      <c r="C303" s="25" t="s">
        <v>603</v>
      </c>
      <c r="D303" s="25" t="s">
        <v>122</v>
      </c>
      <c r="E303" s="25" t="s">
        <v>587</v>
      </c>
      <c r="F303" s="25" t="s">
        <v>604</v>
      </c>
      <c r="G303" s="26">
        <v>3283806.7690738421</v>
      </c>
      <c r="H303" s="27">
        <v>36601</v>
      </c>
      <c r="I303" s="28"/>
      <c r="J303" s="27">
        <v>24682</v>
      </c>
      <c r="K303" s="25">
        <f>(DAYS360(J303,$K$1))/360</f>
        <v>-67.580555555555549</v>
      </c>
      <c r="L303" s="25">
        <f>(DAYS360(H303,$K$1))/360</f>
        <v>-100.21111111111111</v>
      </c>
      <c r="M303" s="29">
        <v>2</v>
      </c>
      <c r="N303" s="76" t="str">
        <f>IF(M303=3,"SALARIO INTEGRAL",IF(M303=2,"TERMINO INDEFINIDO",IF(M303=1,"TERMINO FIJO",IF(M303="2_N","TERMINO INDEFINIDO NUEVO","OTRO"))))</f>
        <v>TERMINO INDEFINIDO</v>
      </c>
      <c r="O303" s="32">
        <v>409</v>
      </c>
      <c r="P303" s="32">
        <v>4</v>
      </c>
      <c r="Q303" s="29" t="s">
        <v>35</v>
      </c>
      <c r="R303" s="29">
        <v>1</v>
      </c>
      <c r="S303" s="59">
        <v>2</v>
      </c>
      <c r="T303" s="32">
        <v>6</v>
      </c>
    </row>
    <row r="304" spans="1:20">
      <c r="A304" s="72" t="s">
        <v>56</v>
      </c>
      <c r="B304" s="54" t="s">
        <v>605</v>
      </c>
      <c r="C304" s="25" t="s">
        <v>606</v>
      </c>
      <c r="D304" s="25" t="s">
        <v>275</v>
      </c>
      <c r="E304" s="25" t="s">
        <v>587</v>
      </c>
      <c r="F304" s="25"/>
      <c r="G304" s="26">
        <v>3231586.9520465797</v>
      </c>
      <c r="H304" s="27">
        <v>37146</v>
      </c>
      <c r="I304" s="28"/>
      <c r="J304" s="27">
        <v>21857</v>
      </c>
      <c r="K304" s="25">
        <f t="shared" si="25"/>
        <v>-59.841666666666669</v>
      </c>
      <c r="L304" s="55">
        <f t="shared" si="26"/>
        <v>-101.7</v>
      </c>
      <c r="M304" s="29">
        <v>2</v>
      </c>
      <c r="N304" s="162" t="str">
        <f t="shared" si="22"/>
        <v>TERMINO INDEFINIDO</v>
      </c>
      <c r="O304" s="56">
        <v>507</v>
      </c>
      <c r="P304" s="29">
        <v>5</v>
      </c>
      <c r="Q304" s="29" t="s">
        <v>30</v>
      </c>
      <c r="R304" s="29">
        <v>2</v>
      </c>
      <c r="S304" s="163">
        <v>3</v>
      </c>
      <c r="T304" s="32">
        <v>5</v>
      </c>
    </row>
    <row r="305" spans="1:20">
      <c r="A305" s="114" t="s">
        <v>56</v>
      </c>
      <c r="B305" s="71">
        <v>87027861</v>
      </c>
      <c r="C305" s="36" t="s">
        <v>607</v>
      </c>
      <c r="D305" s="36" t="s">
        <v>58</v>
      </c>
      <c r="E305" s="36" t="s">
        <v>587</v>
      </c>
      <c r="F305" s="36"/>
      <c r="G305" s="37">
        <v>3231586.9520465797</v>
      </c>
      <c r="H305" s="38">
        <v>39463</v>
      </c>
      <c r="I305" s="39"/>
      <c r="J305" s="38">
        <v>27024</v>
      </c>
      <c r="K305" s="36">
        <f t="shared" si="25"/>
        <v>-73.988888888888894</v>
      </c>
      <c r="L305" s="77">
        <f t="shared" si="26"/>
        <v>-108.04444444444445</v>
      </c>
      <c r="M305" s="40" t="s">
        <v>34</v>
      </c>
      <c r="N305" s="41" t="str">
        <f t="shared" si="22"/>
        <v>TERMINO INDEFINIDO NUEVO</v>
      </c>
      <c r="O305" s="42">
        <v>605</v>
      </c>
      <c r="P305" s="42">
        <v>5</v>
      </c>
      <c r="Q305" s="35" t="s">
        <v>30</v>
      </c>
      <c r="R305" s="35">
        <v>2</v>
      </c>
      <c r="S305" s="94">
        <v>3</v>
      </c>
      <c r="T305" s="42">
        <v>5</v>
      </c>
    </row>
    <row r="306" spans="1:20">
      <c r="A306" s="114" t="s">
        <v>56</v>
      </c>
      <c r="B306" s="71">
        <v>12747072</v>
      </c>
      <c r="C306" s="36" t="s">
        <v>608</v>
      </c>
      <c r="D306" s="36" t="s">
        <v>58</v>
      </c>
      <c r="E306" s="36" t="s">
        <v>587</v>
      </c>
      <c r="F306" s="36"/>
      <c r="G306" s="37">
        <v>3231586.9520465797</v>
      </c>
      <c r="H306" s="38">
        <v>40465</v>
      </c>
      <c r="I306" s="39"/>
      <c r="J306" s="38">
        <v>28949</v>
      </c>
      <c r="K306" s="36">
        <f t="shared" si="25"/>
        <v>-79.261111111111106</v>
      </c>
      <c r="L306" s="77">
        <f t="shared" si="26"/>
        <v>-110.78888888888889</v>
      </c>
      <c r="M306" s="40" t="s">
        <v>34</v>
      </c>
      <c r="N306" s="41" t="str">
        <f t="shared" si="22"/>
        <v>TERMINO INDEFINIDO NUEVO</v>
      </c>
      <c r="O306" s="42">
        <v>605</v>
      </c>
      <c r="P306" s="42">
        <v>5</v>
      </c>
      <c r="Q306" s="35" t="s">
        <v>30</v>
      </c>
      <c r="R306" s="35">
        <v>2</v>
      </c>
      <c r="S306" s="94">
        <v>5</v>
      </c>
      <c r="T306" s="42">
        <v>5</v>
      </c>
    </row>
    <row r="307" spans="1:20">
      <c r="A307" s="72" t="s">
        <v>56</v>
      </c>
      <c r="B307" s="54" t="s">
        <v>609</v>
      </c>
      <c r="C307" s="25" t="s">
        <v>610</v>
      </c>
      <c r="D307" s="25" t="s">
        <v>58</v>
      </c>
      <c r="E307" s="25" t="s">
        <v>587</v>
      </c>
      <c r="F307" s="25"/>
      <c r="G307" s="26">
        <v>3231586.9520465797</v>
      </c>
      <c r="H307" s="27">
        <v>36966</v>
      </c>
      <c r="I307" s="28"/>
      <c r="J307" s="27">
        <v>27073</v>
      </c>
      <c r="K307" s="25">
        <f t="shared" si="25"/>
        <v>-74.11944444444444</v>
      </c>
      <c r="L307" s="55">
        <f t="shared" si="26"/>
        <v>-101.21111111111111</v>
      </c>
      <c r="M307" s="29">
        <v>2</v>
      </c>
      <c r="N307" s="76" t="str">
        <f t="shared" si="22"/>
        <v>TERMINO INDEFINIDO</v>
      </c>
      <c r="O307" s="32">
        <v>507</v>
      </c>
      <c r="P307" s="32">
        <v>5</v>
      </c>
      <c r="Q307" s="29" t="s">
        <v>30</v>
      </c>
      <c r="R307" s="29">
        <v>2</v>
      </c>
      <c r="S307" s="59">
        <v>3</v>
      </c>
      <c r="T307" s="32">
        <v>5</v>
      </c>
    </row>
    <row r="308" spans="1:20">
      <c r="A308" s="72" t="s">
        <v>56</v>
      </c>
      <c r="B308" s="54"/>
      <c r="C308" s="25" t="s">
        <v>133</v>
      </c>
      <c r="D308" s="25" t="s">
        <v>275</v>
      </c>
      <c r="E308" s="25" t="s">
        <v>587</v>
      </c>
      <c r="F308" s="25"/>
      <c r="G308" s="26">
        <v>3231586.9520465797</v>
      </c>
      <c r="H308" s="27"/>
      <c r="I308" s="28"/>
      <c r="J308" s="27"/>
      <c r="K308" s="25">
        <f t="shared" si="25"/>
        <v>0</v>
      </c>
      <c r="L308" s="55">
        <f t="shared" si="26"/>
        <v>0</v>
      </c>
      <c r="M308" s="29">
        <v>91</v>
      </c>
      <c r="N308" s="30" t="str">
        <f t="shared" si="22"/>
        <v>OTRO</v>
      </c>
      <c r="O308" s="29">
        <v>605</v>
      </c>
      <c r="P308" s="32">
        <v>5</v>
      </c>
      <c r="Q308" s="29"/>
      <c r="R308" s="29"/>
      <c r="S308" s="59">
        <v>3</v>
      </c>
      <c r="T308" s="32">
        <v>5</v>
      </c>
    </row>
    <row r="309" spans="1:20">
      <c r="A309" s="114" t="s">
        <v>56</v>
      </c>
      <c r="B309" s="71">
        <v>98399448</v>
      </c>
      <c r="C309" s="36" t="s">
        <v>611</v>
      </c>
      <c r="D309" s="36" t="s">
        <v>275</v>
      </c>
      <c r="E309" s="36" t="s">
        <v>587</v>
      </c>
      <c r="F309" s="36"/>
      <c r="G309" s="37">
        <v>3231586.9520465797</v>
      </c>
      <c r="H309" s="38">
        <v>42291</v>
      </c>
      <c r="I309" s="39"/>
      <c r="J309" s="38">
        <v>28550</v>
      </c>
      <c r="K309" s="36">
        <f t="shared" si="25"/>
        <v>-78.169444444444451</v>
      </c>
      <c r="L309" s="77">
        <f t="shared" si="26"/>
        <v>-115.78888888888889</v>
      </c>
      <c r="M309" s="40" t="s">
        <v>34</v>
      </c>
      <c r="N309" s="41" t="str">
        <f t="shared" si="22"/>
        <v>TERMINO INDEFINIDO NUEVO</v>
      </c>
      <c r="O309" s="42">
        <v>604</v>
      </c>
      <c r="P309" s="42">
        <v>5</v>
      </c>
      <c r="Q309" s="35" t="s">
        <v>30</v>
      </c>
      <c r="R309" s="35">
        <v>1</v>
      </c>
      <c r="S309" s="94">
        <v>4</v>
      </c>
      <c r="T309" s="42">
        <v>5</v>
      </c>
    </row>
    <row r="310" spans="1:20">
      <c r="A310" s="114" t="s">
        <v>56</v>
      </c>
      <c r="B310" s="71">
        <v>98387402</v>
      </c>
      <c r="C310" s="36" t="s">
        <v>612</v>
      </c>
      <c r="D310" s="36" t="s">
        <v>275</v>
      </c>
      <c r="E310" s="36" t="s">
        <v>587</v>
      </c>
      <c r="F310" s="36"/>
      <c r="G310" s="37">
        <v>3231586.9520465797</v>
      </c>
      <c r="H310" s="38">
        <v>42878</v>
      </c>
      <c r="I310" s="39"/>
      <c r="J310" s="38">
        <v>27039</v>
      </c>
      <c r="K310" s="36">
        <f t="shared" si="25"/>
        <v>-74.027777777777771</v>
      </c>
      <c r="L310" s="77">
        <f t="shared" si="26"/>
        <v>-117.39722222222223</v>
      </c>
      <c r="M310" s="40" t="s">
        <v>34</v>
      </c>
      <c r="N310" s="41" t="str">
        <f t="shared" si="22"/>
        <v>TERMINO INDEFINIDO NUEVO</v>
      </c>
      <c r="O310" s="42">
        <v>604</v>
      </c>
      <c r="P310" s="42">
        <v>5</v>
      </c>
      <c r="Q310" s="35" t="s">
        <v>30</v>
      </c>
      <c r="R310" s="35">
        <v>1</v>
      </c>
      <c r="S310" s="94">
        <v>3</v>
      </c>
      <c r="T310" s="42">
        <v>5</v>
      </c>
    </row>
    <row r="311" spans="1:20">
      <c r="A311" s="25" t="s">
        <v>185</v>
      </c>
      <c r="B311" s="54" t="s">
        <v>613</v>
      </c>
      <c r="C311" s="25" t="s">
        <v>614</v>
      </c>
      <c r="D311" s="25" t="s">
        <v>188</v>
      </c>
      <c r="E311" s="25" t="s">
        <v>615</v>
      </c>
      <c r="F311" s="25"/>
      <c r="G311" s="26">
        <v>6063366.101405181</v>
      </c>
      <c r="H311" s="27">
        <v>32776</v>
      </c>
      <c r="I311" s="28"/>
      <c r="J311" s="27">
        <v>23723</v>
      </c>
      <c r="K311" s="25">
        <f>(DAYS360(J311,$K$1))/360</f>
        <v>-64.95</v>
      </c>
      <c r="L311" s="55">
        <f>(DAYS360(H311,$K$1))/360</f>
        <v>-89.736111111111114</v>
      </c>
      <c r="M311" s="29">
        <v>2</v>
      </c>
      <c r="N311" s="57" t="str">
        <f t="shared" si="22"/>
        <v>TERMINO INDEFINIDO</v>
      </c>
      <c r="O311" s="58">
        <v>605</v>
      </c>
      <c r="P311" s="32">
        <v>5</v>
      </c>
      <c r="Q311" s="29" t="s">
        <v>30</v>
      </c>
      <c r="R311" s="29">
        <v>1</v>
      </c>
      <c r="S311" s="59">
        <v>2</v>
      </c>
      <c r="T311" s="32">
        <v>4</v>
      </c>
    </row>
    <row r="312" spans="1:20">
      <c r="A312" s="25" t="s">
        <v>45</v>
      </c>
      <c r="B312" s="25" t="s">
        <v>616</v>
      </c>
      <c r="C312" s="25" t="s">
        <v>617</v>
      </c>
      <c r="D312" s="29" t="s">
        <v>48</v>
      </c>
      <c r="E312" s="29" t="s">
        <v>615</v>
      </c>
      <c r="F312" s="29"/>
      <c r="G312" s="26">
        <v>6967259.1464534989</v>
      </c>
      <c r="H312" s="27">
        <v>30487</v>
      </c>
      <c r="I312" s="28"/>
      <c r="J312" s="27">
        <v>22319</v>
      </c>
      <c r="K312" s="25">
        <f>(DAYS360(J312,$K$1))/360</f>
        <v>-61.102777777777774</v>
      </c>
      <c r="L312" s="55">
        <f>(DAYS360(H312,$K$1))/360</f>
        <v>-83.472222222222229</v>
      </c>
      <c r="M312" s="29">
        <v>2</v>
      </c>
      <c r="N312" s="30" t="str">
        <f t="shared" si="22"/>
        <v>TERMINO INDEFINIDO</v>
      </c>
      <c r="O312" s="29">
        <v>16</v>
      </c>
      <c r="P312" s="29">
        <v>4</v>
      </c>
      <c r="Q312" s="29" t="s">
        <v>30</v>
      </c>
      <c r="R312" s="29">
        <v>2</v>
      </c>
      <c r="S312" s="164">
        <v>4</v>
      </c>
      <c r="T312" s="32">
        <v>4</v>
      </c>
    </row>
    <row r="313" spans="1:20">
      <c r="A313" s="25" t="s">
        <v>185</v>
      </c>
      <c r="B313" s="54">
        <v>5341839</v>
      </c>
      <c r="C313" s="25" t="s">
        <v>618</v>
      </c>
      <c r="D313" s="29" t="s">
        <v>188</v>
      </c>
      <c r="E313" s="29" t="s">
        <v>615</v>
      </c>
      <c r="F313" s="29"/>
      <c r="G313" s="26">
        <v>6063366.6223593149</v>
      </c>
      <c r="H313" s="27">
        <v>32342</v>
      </c>
      <c r="I313" s="28"/>
      <c r="J313" s="27">
        <v>22285</v>
      </c>
      <c r="K313" s="25">
        <f>(DAYS360(J313,$K$1))/360</f>
        <v>-61.011111111111113</v>
      </c>
      <c r="L313" s="55">
        <f>(DAYS360(H313,$K$1))/360</f>
        <v>-88.55</v>
      </c>
      <c r="M313" s="29">
        <v>2</v>
      </c>
      <c r="N313" s="30" t="str">
        <f t="shared" si="22"/>
        <v>TERMINO INDEFINIDO</v>
      </c>
      <c r="O313" s="29">
        <v>16</v>
      </c>
      <c r="P313" s="29">
        <v>4</v>
      </c>
      <c r="Q313" s="29" t="s">
        <v>30</v>
      </c>
      <c r="R313" s="29">
        <v>2</v>
      </c>
      <c r="S313" s="59">
        <v>3</v>
      </c>
      <c r="T313" s="32">
        <v>4</v>
      </c>
    </row>
    <row r="314" spans="1:20">
      <c r="A314" s="25" t="s">
        <v>162</v>
      </c>
      <c r="B314" s="25" t="s">
        <v>619</v>
      </c>
      <c r="C314" s="25" t="s">
        <v>620</v>
      </c>
      <c r="D314" s="25" t="s">
        <v>165</v>
      </c>
      <c r="E314" s="25" t="s">
        <v>621</v>
      </c>
      <c r="F314" s="25"/>
      <c r="G314" s="26">
        <v>25016832</v>
      </c>
      <c r="H314" s="80">
        <v>33147</v>
      </c>
      <c r="I314" s="28"/>
      <c r="J314" s="27">
        <v>22042</v>
      </c>
      <c r="K314" s="25">
        <f>(DAYS360(J314,$K$1))/360</f>
        <v>-60.35</v>
      </c>
      <c r="L314" s="25">
        <f>(DAYS360(H314,$K$1))/360</f>
        <v>-90.75277777777778</v>
      </c>
      <c r="M314" s="29">
        <v>3</v>
      </c>
      <c r="N314" s="30" t="str">
        <f t="shared" si="22"/>
        <v>SALARIO INTEGRAL</v>
      </c>
      <c r="O314" s="29">
        <v>151</v>
      </c>
      <c r="P314" s="29">
        <v>4</v>
      </c>
      <c r="Q314" s="29" t="s">
        <v>30</v>
      </c>
      <c r="R314" s="29">
        <v>26</v>
      </c>
      <c r="S314" s="59">
        <v>6</v>
      </c>
      <c r="T314" s="32">
        <v>3</v>
      </c>
    </row>
    <row r="315" spans="1:20">
      <c r="A315" s="25" t="s">
        <v>45</v>
      </c>
      <c r="B315" s="25" t="s">
        <v>622</v>
      </c>
      <c r="C315" s="25" t="s">
        <v>623</v>
      </c>
      <c r="D315" s="25" t="s">
        <v>75</v>
      </c>
      <c r="E315" s="25" t="s">
        <v>621</v>
      </c>
      <c r="F315" s="25"/>
      <c r="G315" s="26">
        <v>6967259.7986902911</v>
      </c>
      <c r="H315" s="80">
        <v>35354</v>
      </c>
      <c r="I315" s="28"/>
      <c r="J315" s="27">
        <v>25619</v>
      </c>
      <c r="K315" s="25">
        <f t="shared" ref="K315:K373" si="27">(DAYS360(J315,$K$1))/360</f>
        <v>-70.138888888888886</v>
      </c>
      <c r="L315" s="25">
        <f t="shared" ref="L315:L373" si="28">(DAYS360(H315,$K$1))/360</f>
        <v>-96.794444444444451</v>
      </c>
      <c r="M315" s="29">
        <v>2</v>
      </c>
      <c r="N315" s="76" t="str">
        <f t="shared" si="22"/>
        <v>TERMINO INDEFINIDO</v>
      </c>
      <c r="O315" s="32">
        <v>151</v>
      </c>
      <c r="P315" s="32">
        <v>4</v>
      </c>
      <c r="Q315" s="29" t="s">
        <v>35</v>
      </c>
      <c r="R315" s="29">
        <v>26</v>
      </c>
      <c r="S315" s="165">
        <v>6</v>
      </c>
      <c r="T315" s="32">
        <v>4</v>
      </c>
    </row>
    <row r="316" spans="1:20">
      <c r="A316" s="25" t="s">
        <v>45</v>
      </c>
      <c r="B316" s="54" t="s">
        <v>624</v>
      </c>
      <c r="C316" s="25" t="s">
        <v>625</v>
      </c>
      <c r="D316" s="25" t="s">
        <v>75</v>
      </c>
      <c r="E316" s="25" t="s">
        <v>621</v>
      </c>
      <c r="F316" s="25"/>
      <c r="G316" s="26">
        <v>6967259.7986902911</v>
      </c>
      <c r="H316" s="85">
        <v>33828</v>
      </c>
      <c r="I316" s="82"/>
      <c r="J316" s="27">
        <v>24748</v>
      </c>
      <c r="K316" s="25">
        <f t="shared" si="27"/>
        <v>-67.75833333333334</v>
      </c>
      <c r="L316" s="25">
        <f t="shared" si="28"/>
        <v>-92.61666666666666</v>
      </c>
      <c r="M316" s="29">
        <v>2</v>
      </c>
      <c r="N316" s="76" t="str">
        <f t="shared" si="22"/>
        <v>TERMINO INDEFINIDO</v>
      </c>
      <c r="O316" s="32">
        <v>151</v>
      </c>
      <c r="P316" s="32">
        <v>4</v>
      </c>
      <c r="Q316" s="29" t="s">
        <v>30</v>
      </c>
      <c r="R316" s="29">
        <v>26</v>
      </c>
      <c r="S316" s="59">
        <v>5</v>
      </c>
      <c r="T316" s="32">
        <v>4</v>
      </c>
    </row>
    <row r="317" spans="1:20">
      <c r="A317" s="25" t="s">
        <v>134</v>
      </c>
      <c r="B317" s="25" t="s">
        <v>626</v>
      </c>
      <c r="C317" s="25" t="s">
        <v>627</v>
      </c>
      <c r="D317" s="25" t="s">
        <v>529</v>
      </c>
      <c r="E317" s="25" t="s">
        <v>621</v>
      </c>
      <c r="F317" s="25"/>
      <c r="G317" s="26">
        <v>5637209.9356840365</v>
      </c>
      <c r="H317" s="80">
        <v>33624</v>
      </c>
      <c r="I317" s="28"/>
      <c r="J317" s="27">
        <v>26707</v>
      </c>
      <c r="K317" s="25">
        <f t="shared" si="27"/>
        <v>-73.11666666666666</v>
      </c>
      <c r="L317" s="25">
        <f t="shared" si="28"/>
        <v>-92.058333333333337</v>
      </c>
      <c r="M317" s="29">
        <v>2</v>
      </c>
      <c r="N317" s="76" t="str">
        <f t="shared" si="22"/>
        <v>TERMINO INDEFINIDO</v>
      </c>
      <c r="O317" s="32">
        <v>152</v>
      </c>
      <c r="P317" s="32">
        <v>5</v>
      </c>
      <c r="Q317" s="29" t="s">
        <v>30</v>
      </c>
      <c r="R317" s="29">
        <v>26</v>
      </c>
      <c r="S317" s="59">
        <v>3</v>
      </c>
      <c r="T317" s="32">
        <v>6</v>
      </c>
    </row>
    <row r="318" spans="1:20">
      <c r="A318" s="25" t="s">
        <v>36</v>
      </c>
      <c r="B318" s="54" t="s">
        <v>628</v>
      </c>
      <c r="C318" s="25" t="s">
        <v>629</v>
      </c>
      <c r="D318" s="25" t="s">
        <v>61</v>
      </c>
      <c r="E318" s="25" t="s">
        <v>621</v>
      </c>
      <c r="F318" s="25" t="s">
        <v>630</v>
      </c>
      <c r="G318" s="26">
        <v>3707009.4514301317</v>
      </c>
      <c r="H318" s="80">
        <v>37258</v>
      </c>
      <c r="I318" s="28"/>
      <c r="J318" s="27">
        <v>28051</v>
      </c>
      <c r="K318" s="25">
        <f t="shared" si="27"/>
        <v>-76.8</v>
      </c>
      <c r="L318" s="25">
        <f t="shared" si="28"/>
        <v>-102.00555555555556</v>
      </c>
      <c r="M318" s="29">
        <v>2</v>
      </c>
      <c r="N318" s="30" t="str">
        <f t="shared" si="22"/>
        <v>TERMINO INDEFINIDO</v>
      </c>
      <c r="O318" s="29">
        <v>152</v>
      </c>
      <c r="P318" s="29">
        <v>4</v>
      </c>
      <c r="Q318" s="29" t="s">
        <v>30</v>
      </c>
      <c r="R318" s="29">
        <v>26</v>
      </c>
      <c r="S318" s="59">
        <v>3</v>
      </c>
      <c r="T318" s="32">
        <v>6</v>
      </c>
    </row>
    <row r="319" spans="1:20">
      <c r="A319" s="36" t="s">
        <v>36</v>
      </c>
      <c r="B319" s="71">
        <v>7703846</v>
      </c>
      <c r="C319" s="36" t="s">
        <v>631</v>
      </c>
      <c r="D319" s="36" t="s">
        <v>38</v>
      </c>
      <c r="E319" s="36" t="s">
        <v>621</v>
      </c>
      <c r="F319" s="36" t="s">
        <v>632</v>
      </c>
      <c r="G319" s="37">
        <v>3707009.4514301317</v>
      </c>
      <c r="H319" s="86">
        <v>39387</v>
      </c>
      <c r="I319" s="39"/>
      <c r="J319" s="38">
        <v>28095</v>
      </c>
      <c r="K319" s="36">
        <f t="shared" si="27"/>
        <v>-76.919444444444451</v>
      </c>
      <c r="L319" s="36">
        <f t="shared" si="28"/>
        <v>-107.83611111111111</v>
      </c>
      <c r="M319" s="40" t="s">
        <v>34</v>
      </c>
      <c r="N319" s="41" t="str">
        <f t="shared" si="22"/>
        <v>TERMINO INDEFINIDO NUEVO</v>
      </c>
      <c r="O319" s="42">
        <v>152</v>
      </c>
      <c r="P319" s="42">
        <v>4</v>
      </c>
      <c r="Q319" s="35" t="s">
        <v>30</v>
      </c>
      <c r="R319" s="35">
        <v>26</v>
      </c>
      <c r="S319" s="94">
        <v>3</v>
      </c>
      <c r="T319" s="42">
        <v>6</v>
      </c>
    </row>
    <row r="320" spans="1:20">
      <c r="A320" s="36" t="s">
        <v>36</v>
      </c>
      <c r="B320" s="92">
        <v>37121503</v>
      </c>
      <c r="C320" s="36" t="s">
        <v>633</v>
      </c>
      <c r="D320" s="36" t="s">
        <v>38</v>
      </c>
      <c r="E320" s="36" t="s">
        <v>621</v>
      </c>
      <c r="F320" s="36" t="s">
        <v>634</v>
      </c>
      <c r="G320" s="37">
        <v>3707009.4514301317</v>
      </c>
      <c r="H320" s="86">
        <v>38504</v>
      </c>
      <c r="I320" s="39"/>
      <c r="J320" s="38">
        <v>29201</v>
      </c>
      <c r="K320" s="36">
        <f t="shared" si="27"/>
        <v>-79.95</v>
      </c>
      <c r="L320" s="36">
        <f t="shared" si="28"/>
        <v>-105.41944444444445</v>
      </c>
      <c r="M320" s="40" t="s">
        <v>34</v>
      </c>
      <c r="N320" s="41" t="str">
        <f t="shared" si="22"/>
        <v>TERMINO INDEFINIDO NUEVO</v>
      </c>
      <c r="O320" s="42">
        <v>152</v>
      </c>
      <c r="P320" s="42">
        <v>4</v>
      </c>
      <c r="Q320" s="35" t="s">
        <v>35</v>
      </c>
      <c r="R320" s="35">
        <v>26</v>
      </c>
      <c r="S320" s="94">
        <v>3</v>
      </c>
      <c r="T320" s="42">
        <v>6</v>
      </c>
    </row>
    <row r="321" spans="1:20">
      <c r="A321" s="25" t="s">
        <v>36</v>
      </c>
      <c r="B321" s="54" t="s">
        <v>635</v>
      </c>
      <c r="C321" s="25" t="s">
        <v>636</v>
      </c>
      <c r="D321" s="25" t="s">
        <v>38</v>
      </c>
      <c r="E321" s="25" t="s">
        <v>621</v>
      </c>
      <c r="F321" s="25" t="s">
        <v>637</v>
      </c>
      <c r="G321" s="26">
        <v>3707009.4514301317</v>
      </c>
      <c r="H321" s="85">
        <v>37104</v>
      </c>
      <c r="I321" s="82"/>
      <c r="J321" s="27">
        <v>27607</v>
      </c>
      <c r="K321" s="25">
        <f t="shared" si="27"/>
        <v>-75.586111111111109</v>
      </c>
      <c r="L321" s="25">
        <f t="shared" si="28"/>
        <v>-101.58611111111111</v>
      </c>
      <c r="M321" s="29">
        <v>2</v>
      </c>
      <c r="N321" s="76" t="str">
        <f t="shared" si="22"/>
        <v>TERMINO INDEFINIDO</v>
      </c>
      <c r="O321" s="32">
        <v>152</v>
      </c>
      <c r="P321" s="32">
        <v>5</v>
      </c>
      <c r="Q321" s="29" t="s">
        <v>30</v>
      </c>
      <c r="R321" s="29">
        <v>26</v>
      </c>
      <c r="S321" s="59">
        <v>5</v>
      </c>
      <c r="T321" s="32">
        <v>6</v>
      </c>
    </row>
    <row r="322" spans="1:20">
      <c r="A322" s="25" t="s">
        <v>36</v>
      </c>
      <c r="B322" s="54" t="s">
        <v>638</v>
      </c>
      <c r="C322" s="25" t="s">
        <v>639</v>
      </c>
      <c r="D322" s="25" t="s">
        <v>38</v>
      </c>
      <c r="E322" s="25" t="s">
        <v>621</v>
      </c>
      <c r="F322" s="25" t="s">
        <v>640</v>
      </c>
      <c r="G322" s="26">
        <v>3707009.4514301317</v>
      </c>
      <c r="H322" s="85">
        <v>35125</v>
      </c>
      <c r="I322" s="82"/>
      <c r="J322" s="27">
        <v>27331</v>
      </c>
      <c r="K322" s="25">
        <f t="shared" si="27"/>
        <v>-74.830555555555549</v>
      </c>
      <c r="L322" s="25">
        <f t="shared" si="28"/>
        <v>-96.169444444444451</v>
      </c>
      <c r="M322" s="29">
        <v>2</v>
      </c>
      <c r="N322" s="76" t="str">
        <f t="shared" si="22"/>
        <v>TERMINO INDEFINIDO</v>
      </c>
      <c r="O322" s="32">
        <v>151</v>
      </c>
      <c r="P322" s="32">
        <v>4</v>
      </c>
      <c r="Q322" s="29" t="s">
        <v>30</v>
      </c>
      <c r="R322" s="29">
        <v>26</v>
      </c>
      <c r="S322" s="59">
        <v>5</v>
      </c>
      <c r="T322" s="32">
        <v>6</v>
      </c>
    </row>
    <row r="323" spans="1:20">
      <c r="A323" s="62" t="s">
        <v>115</v>
      </c>
      <c r="B323" s="61">
        <v>1086105069</v>
      </c>
      <c r="C323" s="62" t="s">
        <v>641</v>
      </c>
      <c r="D323" s="69" t="s">
        <v>117</v>
      </c>
      <c r="E323" s="62" t="s">
        <v>621</v>
      </c>
      <c r="F323" s="62"/>
      <c r="G323" s="63">
        <v>3283806.7690738421</v>
      </c>
      <c r="H323" s="64">
        <v>43731</v>
      </c>
      <c r="I323" s="65"/>
      <c r="J323" s="64">
        <v>33790</v>
      </c>
      <c r="K323" s="62">
        <f t="shared" si="27"/>
        <v>-92.513888888888886</v>
      </c>
      <c r="L323" s="62">
        <f t="shared" si="28"/>
        <v>-119.73055555555555</v>
      </c>
      <c r="M323" s="66" t="s">
        <v>34</v>
      </c>
      <c r="N323" s="74" t="str">
        <f t="shared" si="22"/>
        <v>TERMINO INDEFINIDO NUEVO</v>
      </c>
      <c r="O323" s="69">
        <v>309</v>
      </c>
      <c r="P323" s="68">
        <v>4</v>
      </c>
      <c r="Q323" s="69" t="s">
        <v>35</v>
      </c>
      <c r="R323" s="69">
        <v>26</v>
      </c>
      <c r="S323" s="75">
        <v>6</v>
      </c>
      <c r="T323" s="68">
        <v>6</v>
      </c>
    </row>
    <row r="324" spans="1:20">
      <c r="A324" s="36" t="s">
        <v>115</v>
      </c>
      <c r="B324" s="71">
        <v>27381783</v>
      </c>
      <c r="C324" s="36" t="s">
        <v>642</v>
      </c>
      <c r="D324" s="36" t="s">
        <v>117</v>
      </c>
      <c r="E324" s="36" t="s">
        <v>621</v>
      </c>
      <c r="F324" s="36"/>
      <c r="G324" s="37">
        <v>3283806.9907727777</v>
      </c>
      <c r="H324" s="86">
        <v>40940</v>
      </c>
      <c r="I324" s="39"/>
      <c r="J324" s="38">
        <v>29358</v>
      </c>
      <c r="K324" s="36">
        <f t="shared" si="27"/>
        <v>-80.38055555555556</v>
      </c>
      <c r="L324" s="36">
        <f t="shared" si="28"/>
        <v>-112.08611111111111</v>
      </c>
      <c r="M324" s="40" t="s">
        <v>34</v>
      </c>
      <c r="N324" s="41" t="str">
        <f t="shared" si="22"/>
        <v>TERMINO INDEFINIDO NUEVO</v>
      </c>
      <c r="O324" s="42">
        <v>152</v>
      </c>
      <c r="P324" s="42">
        <v>5</v>
      </c>
      <c r="Q324" s="35" t="s">
        <v>35</v>
      </c>
      <c r="R324" s="35">
        <v>26</v>
      </c>
      <c r="S324" s="94">
        <v>4</v>
      </c>
      <c r="T324" s="42">
        <v>6</v>
      </c>
    </row>
    <row r="325" spans="1:20">
      <c r="A325" s="36" t="s">
        <v>115</v>
      </c>
      <c r="B325" s="71">
        <v>27209905</v>
      </c>
      <c r="C325" s="36" t="s">
        <v>643</v>
      </c>
      <c r="D325" s="36" t="s">
        <v>122</v>
      </c>
      <c r="E325" s="36" t="s">
        <v>621</v>
      </c>
      <c r="F325" s="36"/>
      <c r="G325" s="37">
        <v>3283806.7690738421</v>
      </c>
      <c r="H325" s="86">
        <v>37151</v>
      </c>
      <c r="I325" s="39"/>
      <c r="J325" s="38">
        <v>23084</v>
      </c>
      <c r="K325" s="36">
        <f t="shared" si="27"/>
        <v>-63.205555555555556</v>
      </c>
      <c r="L325" s="36">
        <f t="shared" si="28"/>
        <v>-101.71388888888889</v>
      </c>
      <c r="M325" s="40" t="s">
        <v>34</v>
      </c>
      <c r="N325" s="41" t="str">
        <f t="shared" si="22"/>
        <v>TERMINO INDEFINIDO NUEVO</v>
      </c>
      <c r="O325" s="42">
        <v>152</v>
      </c>
      <c r="P325" s="42">
        <v>5</v>
      </c>
      <c r="Q325" s="35" t="s">
        <v>35</v>
      </c>
      <c r="R325" s="35">
        <v>26</v>
      </c>
      <c r="S325" s="94">
        <v>4</v>
      </c>
      <c r="T325" s="42">
        <v>6</v>
      </c>
    </row>
    <row r="326" spans="1:20">
      <c r="A326" s="36" t="s">
        <v>115</v>
      </c>
      <c r="B326" s="71">
        <v>1085909276</v>
      </c>
      <c r="C326" s="36" t="s">
        <v>644</v>
      </c>
      <c r="D326" s="36" t="s">
        <v>117</v>
      </c>
      <c r="E326" s="36" t="s">
        <v>621</v>
      </c>
      <c r="F326" s="36"/>
      <c r="G326" s="37">
        <v>3283806.7690738421</v>
      </c>
      <c r="H326" s="86">
        <v>42614</v>
      </c>
      <c r="I326" s="39"/>
      <c r="J326" s="38">
        <v>32354</v>
      </c>
      <c r="K326" s="36">
        <f t="shared" si="27"/>
        <v>-88.583333333333329</v>
      </c>
      <c r="L326" s="36">
        <f t="shared" si="28"/>
        <v>-116.66944444444445</v>
      </c>
      <c r="M326" s="40" t="s">
        <v>34</v>
      </c>
      <c r="N326" s="41" t="str">
        <f t="shared" si="22"/>
        <v>TERMINO INDEFINIDO NUEVO</v>
      </c>
      <c r="O326" s="42">
        <v>151</v>
      </c>
      <c r="P326" s="42">
        <v>4</v>
      </c>
      <c r="Q326" s="35" t="s">
        <v>35</v>
      </c>
      <c r="R326" s="35">
        <v>26</v>
      </c>
      <c r="S326" s="94">
        <v>3</v>
      </c>
      <c r="T326" s="42">
        <v>6</v>
      </c>
    </row>
    <row r="327" spans="1:20">
      <c r="A327" s="36" t="s">
        <v>115</v>
      </c>
      <c r="B327" s="92">
        <v>1130612218</v>
      </c>
      <c r="C327" s="36" t="s">
        <v>645</v>
      </c>
      <c r="D327" s="36" t="s">
        <v>117</v>
      </c>
      <c r="E327" s="36" t="s">
        <v>621</v>
      </c>
      <c r="F327" s="36"/>
      <c r="G327" s="37">
        <v>3283806.7690738421</v>
      </c>
      <c r="H327" s="86">
        <v>39860</v>
      </c>
      <c r="I327" s="39"/>
      <c r="J327" s="38">
        <v>31858</v>
      </c>
      <c r="K327" s="36">
        <f t="shared" si="27"/>
        <v>-87.227777777777774</v>
      </c>
      <c r="L327" s="36">
        <f t="shared" si="28"/>
        <v>-109.12777777777778</v>
      </c>
      <c r="M327" s="40" t="s">
        <v>34</v>
      </c>
      <c r="N327" s="41" t="str">
        <f t="shared" si="22"/>
        <v>TERMINO INDEFINIDO NUEVO</v>
      </c>
      <c r="O327" s="42">
        <v>152</v>
      </c>
      <c r="P327" s="42">
        <v>5</v>
      </c>
      <c r="Q327" s="35" t="s">
        <v>30</v>
      </c>
      <c r="R327" s="35">
        <v>26</v>
      </c>
      <c r="S327" s="94">
        <v>2</v>
      </c>
      <c r="T327" s="42">
        <v>6</v>
      </c>
    </row>
    <row r="328" spans="1:20">
      <c r="A328" s="25" t="s">
        <v>149</v>
      </c>
      <c r="B328" s="83">
        <v>1086105403</v>
      </c>
      <c r="C328" s="25" t="s">
        <v>646</v>
      </c>
      <c r="D328" s="25" t="s">
        <v>151</v>
      </c>
      <c r="E328" s="25" t="s">
        <v>621</v>
      </c>
      <c r="F328" s="25"/>
      <c r="G328" s="26">
        <v>3415094.5981706623</v>
      </c>
      <c r="H328" s="80">
        <v>46240</v>
      </c>
      <c r="I328" s="28">
        <v>46295</v>
      </c>
      <c r="J328" s="27"/>
      <c r="K328" s="25">
        <f t="shared" si="27"/>
        <v>0</v>
      </c>
      <c r="L328" s="25">
        <f t="shared" si="28"/>
        <v>-126.6</v>
      </c>
      <c r="M328" s="73">
        <v>1</v>
      </c>
      <c r="N328" s="76" t="str">
        <f t="shared" ref="N328:N391" si="29">IF(M328=3,"SALARIO INTEGRAL",IF(M328=2,"TERMINO INDEFINIDO",IF(M328=1,"TERMINO FIJO",IF(M328="2_N","TERMINO INDEFINIDO NUEVO","OTRO"))))</f>
        <v>TERMINO FIJO</v>
      </c>
      <c r="O328" s="32">
        <v>151</v>
      </c>
      <c r="P328" s="32">
        <v>4</v>
      </c>
      <c r="Q328" s="29" t="s">
        <v>35</v>
      </c>
      <c r="R328" s="29">
        <v>26</v>
      </c>
      <c r="S328" s="59">
        <v>5</v>
      </c>
      <c r="T328" s="32">
        <v>6</v>
      </c>
    </row>
    <row r="329" spans="1:20">
      <c r="A329" s="33" t="s">
        <v>153</v>
      </c>
      <c r="B329" s="34">
        <v>1086107078</v>
      </c>
      <c r="C329" s="35" t="s">
        <v>647</v>
      </c>
      <c r="D329" s="36" t="s">
        <v>155</v>
      </c>
      <c r="E329" s="36" t="s">
        <v>621</v>
      </c>
      <c r="F329" s="36"/>
      <c r="G329" s="37">
        <v>3120219.09759663</v>
      </c>
      <c r="H329" s="38">
        <v>42401</v>
      </c>
      <c r="I329" s="39"/>
      <c r="J329" s="38">
        <v>35497</v>
      </c>
      <c r="K329" s="36">
        <f t="shared" si="27"/>
        <v>-97.188888888888883</v>
      </c>
      <c r="L329" s="36">
        <f t="shared" si="28"/>
        <v>-116.08611111111111</v>
      </c>
      <c r="M329" s="40" t="s">
        <v>34</v>
      </c>
      <c r="N329" s="34" t="str">
        <f t="shared" si="29"/>
        <v>TERMINO INDEFINIDO NUEVO</v>
      </c>
      <c r="O329" s="35">
        <v>157</v>
      </c>
      <c r="P329" s="35">
        <v>4</v>
      </c>
      <c r="Q329" s="35" t="s">
        <v>35</v>
      </c>
      <c r="R329" s="35">
        <v>26</v>
      </c>
      <c r="S329" s="166">
        <v>5</v>
      </c>
      <c r="T329" s="42">
        <v>6</v>
      </c>
    </row>
    <row r="330" spans="1:20">
      <c r="A330" s="25" t="s">
        <v>511</v>
      </c>
      <c r="B330" s="54" t="s">
        <v>648</v>
      </c>
      <c r="C330" s="25" t="s">
        <v>649</v>
      </c>
      <c r="D330" s="25" t="s">
        <v>650</v>
      </c>
      <c r="E330" s="25" t="s">
        <v>651</v>
      </c>
      <c r="F330" s="25"/>
      <c r="G330" s="26">
        <v>2802739.1336794067</v>
      </c>
      <c r="H330" s="80">
        <v>32387</v>
      </c>
      <c r="I330" s="39"/>
      <c r="J330" s="27">
        <v>25709</v>
      </c>
      <c r="K330" s="25">
        <f t="shared" si="27"/>
        <v>-70.391666666666666</v>
      </c>
      <c r="L330" s="25">
        <f t="shared" si="28"/>
        <v>-88.669444444444451</v>
      </c>
      <c r="M330" s="29">
        <v>2</v>
      </c>
      <c r="N330" s="76" t="str">
        <f t="shared" si="29"/>
        <v>TERMINO INDEFINIDO</v>
      </c>
      <c r="O330" s="32">
        <v>157</v>
      </c>
      <c r="P330" s="32">
        <v>5</v>
      </c>
      <c r="Q330" s="29" t="s">
        <v>30</v>
      </c>
      <c r="R330" s="29">
        <v>5</v>
      </c>
      <c r="S330" s="59">
        <v>3</v>
      </c>
      <c r="T330" s="32">
        <v>5</v>
      </c>
    </row>
    <row r="331" spans="1:20">
      <c r="A331" s="25" t="s">
        <v>511</v>
      </c>
      <c r="B331" s="54" t="s">
        <v>652</v>
      </c>
      <c r="C331" s="25" t="s">
        <v>653</v>
      </c>
      <c r="D331" s="25" t="s">
        <v>650</v>
      </c>
      <c r="E331" s="25" t="s">
        <v>654</v>
      </c>
      <c r="F331" s="25"/>
      <c r="G331" s="26">
        <v>2802739.1336794067</v>
      </c>
      <c r="H331" s="80">
        <v>35125</v>
      </c>
      <c r="I331" s="39"/>
      <c r="J331" s="27">
        <v>27705</v>
      </c>
      <c r="K331" s="25">
        <f t="shared" si="27"/>
        <v>-75.852777777777774</v>
      </c>
      <c r="L331" s="25">
        <f t="shared" si="28"/>
        <v>-96.169444444444451</v>
      </c>
      <c r="M331" s="29">
        <v>2</v>
      </c>
      <c r="N331" s="76" t="str">
        <f t="shared" si="29"/>
        <v>TERMINO INDEFINIDO</v>
      </c>
      <c r="O331" s="32">
        <v>157</v>
      </c>
      <c r="P331" s="32">
        <v>5</v>
      </c>
      <c r="Q331" s="29" t="s">
        <v>30</v>
      </c>
      <c r="R331" s="29">
        <v>5</v>
      </c>
      <c r="S331" s="59">
        <v>3</v>
      </c>
      <c r="T331" s="32">
        <v>5</v>
      </c>
    </row>
    <row r="332" spans="1:20">
      <c r="A332" s="25" t="s">
        <v>511</v>
      </c>
      <c r="B332" s="54">
        <v>5254308</v>
      </c>
      <c r="C332" s="25" t="s">
        <v>655</v>
      </c>
      <c r="D332" s="25" t="s">
        <v>514</v>
      </c>
      <c r="E332" s="25" t="s">
        <v>656</v>
      </c>
      <c r="F332" s="25"/>
      <c r="G332" s="26">
        <v>2802739.1336794067</v>
      </c>
      <c r="H332" s="80">
        <v>33820</v>
      </c>
      <c r="I332" s="39"/>
      <c r="J332" s="27">
        <v>22635</v>
      </c>
      <c r="K332" s="25">
        <f t="shared" si="27"/>
        <v>-61.972222222222221</v>
      </c>
      <c r="L332" s="25">
        <f t="shared" si="28"/>
        <v>-92.594444444444449</v>
      </c>
      <c r="M332" s="29">
        <v>2</v>
      </c>
      <c r="N332" s="76" t="str">
        <f t="shared" si="29"/>
        <v>TERMINO INDEFINIDO</v>
      </c>
      <c r="O332" s="32">
        <v>157</v>
      </c>
      <c r="P332" s="32">
        <v>5</v>
      </c>
      <c r="Q332" s="29" t="s">
        <v>30</v>
      </c>
      <c r="R332" s="29">
        <v>5</v>
      </c>
      <c r="S332" s="59">
        <v>3</v>
      </c>
      <c r="T332" s="32">
        <v>5</v>
      </c>
    </row>
    <row r="333" spans="1:20">
      <c r="A333" s="25" t="s">
        <v>511</v>
      </c>
      <c r="B333" s="54">
        <v>1086103941</v>
      </c>
      <c r="C333" s="25" t="s">
        <v>657</v>
      </c>
      <c r="D333" s="25" t="s">
        <v>650</v>
      </c>
      <c r="E333" s="25" t="s">
        <v>658</v>
      </c>
      <c r="F333" s="25"/>
      <c r="G333" s="26">
        <v>2802739.1336794067</v>
      </c>
      <c r="H333" s="80">
        <v>46235</v>
      </c>
      <c r="I333" s="28">
        <v>46387</v>
      </c>
      <c r="J333" s="27"/>
      <c r="K333" s="25">
        <f t="shared" si="27"/>
        <v>0</v>
      </c>
      <c r="L333" s="25">
        <f t="shared" si="28"/>
        <v>-126.58611111111111</v>
      </c>
      <c r="M333" s="29">
        <v>1</v>
      </c>
      <c r="N333" s="76" t="str">
        <f t="shared" si="29"/>
        <v>TERMINO FIJO</v>
      </c>
      <c r="O333" s="32">
        <v>157</v>
      </c>
      <c r="P333" s="32">
        <v>5</v>
      </c>
      <c r="Q333" s="29" t="s">
        <v>30</v>
      </c>
      <c r="R333" s="29">
        <v>5</v>
      </c>
      <c r="S333" s="59">
        <v>3</v>
      </c>
      <c r="T333" s="32">
        <v>5</v>
      </c>
    </row>
    <row r="334" spans="1:20">
      <c r="A334" s="36" t="s">
        <v>511</v>
      </c>
      <c r="B334" s="71">
        <v>98364315</v>
      </c>
      <c r="C334" s="36" t="s">
        <v>659</v>
      </c>
      <c r="D334" s="36" t="s">
        <v>650</v>
      </c>
      <c r="E334" s="36" t="s">
        <v>660</v>
      </c>
      <c r="F334" s="36"/>
      <c r="G334" s="37">
        <v>2802739.1336794067</v>
      </c>
      <c r="H334" s="86">
        <v>40911</v>
      </c>
      <c r="I334" s="39"/>
      <c r="J334" s="38">
        <v>29886</v>
      </c>
      <c r="K334" s="36">
        <f t="shared" si="27"/>
        <v>-81.825000000000003</v>
      </c>
      <c r="L334" s="36">
        <f t="shared" si="28"/>
        <v>-112.00833333333334</v>
      </c>
      <c r="M334" s="40" t="s">
        <v>34</v>
      </c>
      <c r="N334" s="41" t="str">
        <f t="shared" si="29"/>
        <v>TERMINO INDEFINIDO NUEVO</v>
      </c>
      <c r="O334" s="42">
        <v>157</v>
      </c>
      <c r="P334" s="42">
        <v>5</v>
      </c>
      <c r="Q334" s="35" t="s">
        <v>30</v>
      </c>
      <c r="R334" s="35">
        <v>5</v>
      </c>
      <c r="S334" s="94">
        <v>3</v>
      </c>
      <c r="T334" s="42">
        <v>5</v>
      </c>
    </row>
    <row r="335" spans="1:20">
      <c r="A335" s="25" t="s">
        <v>511</v>
      </c>
      <c r="B335" s="54">
        <v>5234918</v>
      </c>
      <c r="C335" s="25" t="s">
        <v>661</v>
      </c>
      <c r="D335" s="25" t="s">
        <v>650</v>
      </c>
      <c r="E335" s="25" t="s">
        <v>660</v>
      </c>
      <c r="F335" s="25"/>
      <c r="G335" s="26">
        <v>2802739.1336794067</v>
      </c>
      <c r="H335" s="80">
        <v>35431</v>
      </c>
      <c r="I335" s="39"/>
      <c r="J335" s="27">
        <v>26536</v>
      </c>
      <c r="K335" s="25">
        <f t="shared" si="27"/>
        <v>-72.652777777777771</v>
      </c>
      <c r="L335" s="25">
        <f t="shared" si="28"/>
        <v>-97.00277777777778</v>
      </c>
      <c r="M335" s="29">
        <v>2</v>
      </c>
      <c r="N335" s="76" t="str">
        <f t="shared" si="29"/>
        <v>TERMINO INDEFINIDO</v>
      </c>
      <c r="O335" s="32">
        <v>157</v>
      </c>
      <c r="P335" s="32">
        <v>5</v>
      </c>
      <c r="Q335" s="29" t="s">
        <v>30</v>
      </c>
      <c r="R335" s="29">
        <v>5</v>
      </c>
      <c r="S335" s="59">
        <v>3</v>
      </c>
      <c r="T335" s="32">
        <v>5</v>
      </c>
    </row>
    <row r="336" spans="1:20">
      <c r="A336" s="36" t="s">
        <v>511</v>
      </c>
      <c r="B336" s="71">
        <v>1086301286</v>
      </c>
      <c r="C336" s="36" t="s">
        <v>662</v>
      </c>
      <c r="D336" s="36" t="s">
        <v>514</v>
      </c>
      <c r="E336" s="36" t="s">
        <v>663</v>
      </c>
      <c r="F336" s="36"/>
      <c r="G336" s="37">
        <v>2802739.1336794067</v>
      </c>
      <c r="H336" s="86">
        <v>42826</v>
      </c>
      <c r="I336" s="39"/>
      <c r="J336" s="38">
        <v>34025</v>
      </c>
      <c r="K336" s="36">
        <f t="shared" si="27"/>
        <v>-93.152777777777771</v>
      </c>
      <c r="L336" s="36">
        <f t="shared" si="28"/>
        <v>-117.25277777777778</v>
      </c>
      <c r="M336" s="40" t="s">
        <v>34</v>
      </c>
      <c r="N336" s="41" t="str">
        <f t="shared" si="29"/>
        <v>TERMINO INDEFINIDO NUEVO</v>
      </c>
      <c r="O336" s="42">
        <v>157</v>
      </c>
      <c r="P336" s="42">
        <v>5</v>
      </c>
      <c r="Q336" s="35" t="s">
        <v>30</v>
      </c>
      <c r="R336" s="167">
        <v>5</v>
      </c>
      <c r="S336" s="94">
        <v>3</v>
      </c>
      <c r="T336" s="42">
        <v>5</v>
      </c>
    </row>
    <row r="337" spans="1:20">
      <c r="A337" s="36" t="s">
        <v>511</v>
      </c>
      <c r="B337" s="71">
        <v>87514269</v>
      </c>
      <c r="C337" s="36" t="s">
        <v>664</v>
      </c>
      <c r="D337" s="36" t="s">
        <v>514</v>
      </c>
      <c r="E337" s="36" t="s">
        <v>665</v>
      </c>
      <c r="F337" s="36"/>
      <c r="G337" s="37">
        <v>2802739.1336794067</v>
      </c>
      <c r="H337" s="86">
        <v>42026</v>
      </c>
      <c r="I337" s="39"/>
      <c r="J337" s="38">
        <v>30218</v>
      </c>
      <c r="K337" s="36">
        <f t="shared" si="27"/>
        <v>-82.733333333333334</v>
      </c>
      <c r="L337" s="36">
        <f t="shared" si="28"/>
        <v>-115.06111111111112</v>
      </c>
      <c r="M337" s="40" t="s">
        <v>34</v>
      </c>
      <c r="N337" s="41" t="str">
        <f t="shared" si="29"/>
        <v>TERMINO INDEFINIDO NUEVO</v>
      </c>
      <c r="O337" s="42">
        <v>157</v>
      </c>
      <c r="P337" s="42">
        <v>5</v>
      </c>
      <c r="Q337" s="35" t="s">
        <v>30</v>
      </c>
      <c r="R337" s="35">
        <v>5</v>
      </c>
      <c r="S337" s="94">
        <v>3</v>
      </c>
      <c r="T337" s="42">
        <v>5</v>
      </c>
    </row>
    <row r="338" spans="1:20">
      <c r="A338" s="36" t="s">
        <v>511</v>
      </c>
      <c r="B338" s="71">
        <v>98343162</v>
      </c>
      <c r="C338" s="36" t="s">
        <v>666</v>
      </c>
      <c r="D338" s="36" t="s">
        <v>650</v>
      </c>
      <c r="E338" s="36" t="s">
        <v>667</v>
      </c>
      <c r="F338" s="36"/>
      <c r="G338" s="37">
        <v>2802739.1336794067</v>
      </c>
      <c r="H338" s="86">
        <v>39630</v>
      </c>
      <c r="I338" s="39"/>
      <c r="J338" s="38">
        <v>23635</v>
      </c>
      <c r="K338" s="36">
        <f t="shared" si="27"/>
        <v>-64.708333333333329</v>
      </c>
      <c r="L338" s="36">
        <f t="shared" si="28"/>
        <v>-108.50277777777778</v>
      </c>
      <c r="M338" s="40" t="s">
        <v>34</v>
      </c>
      <c r="N338" s="41" t="str">
        <f t="shared" si="29"/>
        <v>TERMINO INDEFINIDO NUEVO</v>
      </c>
      <c r="O338" s="42">
        <v>157</v>
      </c>
      <c r="P338" s="42">
        <v>5</v>
      </c>
      <c r="Q338" s="35" t="s">
        <v>30</v>
      </c>
      <c r="R338" s="35">
        <v>5</v>
      </c>
      <c r="S338" s="94">
        <v>3</v>
      </c>
      <c r="T338" s="42">
        <v>5</v>
      </c>
    </row>
    <row r="339" spans="1:20">
      <c r="A339" s="36" t="s">
        <v>511</v>
      </c>
      <c r="B339" s="71">
        <v>5212420</v>
      </c>
      <c r="C339" s="36" t="s">
        <v>668</v>
      </c>
      <c r="D339" s="36" t="s">
        <v>650</v>
      </c>
      <c r="E339" s="36" t="s">
        <v>669</v>
      </c>
      <c r="F339" s="36"/>
      <c r="G339" s="37">
        <v>2802739.1336794067</v>
      </c>
      <c r="H339" s="86">
        <v>38917</v>
      </c>
      <c r="I339" s="39"/>
      <c r="J339" s="38">
        <v>22788</v>
      </c>
      <c r="K339" s="36">
        <f t="shared" si="27"/>
        <v>-62.394444444444446</v>
      </c>
      <c r="L339" s="36">
        <f t="shared" si="28"/>
        <v>-106.55277777777778</v>
      </c>
      <c r="M339" s="40" t="s">
        <v>34</v>
      </c>
      <c r="N339" s="41" t="str">
        <f t="shared" si="29"/>
        <v>TERMINO INDEFINIDO NUEVO</v>
      </c>
      <c r="O339" s="42">
        <v>157</v>
      </c>
      <c r="P339" s="42">
        <v>5</v>
      </c>
      <c r="Q339" s="35" t="s">
        <v>30</v>
      </c>
      <c r="R339" s="35">
        <v>5</v>
      </c>
      <c r="S339" s="94">
        <v>3</v>
      </c>
      <c r="T339" s="42">
        <v>5</v>
      </c>
    </row>
    <row r="340" spans="1:20">
      <c r="A340" s="36" t="s">
        <v>511</v>
      </c>
      <c r="B340" s="71">
        <v>87216341</v>
      </c>
      <c r="C340" s="36" t="s">
        <v>670</v>
      </c>
      <c r="D340" s="36" t="s">
        <v>650</v>
      </c>
      <c r="E340" s="36" t="s">
        <v>671</v>
      </c>
      <c r="F340" s="36"/>
      <c r="G340" s="37">
        <v>2802739.1336794067</v>
      </c>
      <c r="H340" s="86">
        <v>38824</v>
      </c>
      <c r="I340" s="39"/>
      <c r="J340" s="38">
        <v>30250</v>
      </c>
      <c r="K340" s="36">
        <f t="shared" si="27"/>
        <v>-82.822222222222223</v>
      </c>
      <c r="L340" s="36">
        <f t="shared" si="28"/>
        <v>-106.29722222222222</v>
      </c>
      <c r="M340" s="40" t="s">
        <v>34</v>
      </c>
      <c r="N340" s="41" t="str">
        <f t="shared" si="29"/>
        <v>TERMINO INDEFINIDO NUEVO</v>
      </c>
      <c r="O340" s="42">
        <v>157</v>
      </c>
      <c r="P340" s="42">
        <v>5</v>
      </c>
      <c r="Q340" s="35" t="s">
        <v>30</v>
      </c>
      <c r="R340" s="35">
        <v>5</v>
      </c>
      <c r="S340" s="94">
        <v>3</v>
      </c>
      <c r="T340" s="42">
        <v>5</v>
      </c>
    </row>
    <row r="341" spans="1:20">
      <c r="A341" s="36" t="s">
        <v>511</v>
      </c>
      <c r="B341" s="168">
        <v>7704253</v>
      </c>
      <c r="C341" s="36" t="s">
        <v>672</v>
      </c>
      <c r="D341" s="36" t="s">
        <v>650</v>
      </c>
      <c r="E341" s="36" t="s">
        <v>673</v>
      </c>
      <c r="F341" s="36"/>
      <c r="G341" s="37">
        <v>2802739.1336794067</v>
      </c>
      <c r="H341" s="86">
        <v>39722</v>
      </c>
      <c r="I341" s="39"/>
      <c r="J341" s="38">
        <v>28100</v>
      </c>
      <c r="K341" s="36">
        <f t="shared" si="27"/>
        <v>-76.933333333333337</v>
      </c>
      <c r="L341" s="36">
        <f t="shared" si="28"/>
        <v>-108.75277777777778</v>
      </c>
      <c r="M341" s="40" t="s">
        <v>34</v>
      </c>
      <c r="N341" s="41" t="str">
        <f t="shared" si="29"/>
        <v>TERMINO INDEFINIDO NUEVO</v>
      </c>
      <c r="O341" s="42">
        <v>157</v>
      </c>
      <c r="P341" s="42">
        <v>5</v>
      </c>
      <c r="Q341" s="35" t="s">
        <v>30</v>
      </c>
      <c r="R341" s="35">
        <v>5</v>
      </c>
      <c r="S341" s="94">
        <v>3</v>
      </c>
      <c r="T341" s="42">
        <v>5</v>
      </c>
    </row>
    <row r="342" spans="1:20">
      <c r="A342" s="36" t="s">
        <v>511</v>
      </c>
      <c r="B342" s="71">
        <v>98337827</v>
      </c>
      <c r="C342" s="36" t="s">
        <v>674</v>
      </c>
      <c r="D342" s="36" t="s">
        <v>650</v>
      </c>
      <c r="E342" s="36" t="s">
        <v>675</v>
      </c>
      <c r="F342" s="36" t="s">
        <v>676</v>
      </c>
      <c r="G342" s="37">
        <v>2802739.1336794067</v>
      </c>
      <c r="H342" s="86">
        <v>40026</v>
      </c>
      <c r="I342" s="39"/>
      <c r="J342" s="38">
        <v>27568</v>
      </c>
      <c r="K342" s="36">
        <f t="shared" si="27"/>
        <v>-75.480555555555554</v>
      </c>
      <c r="L342" s="36">
        <f t="shared" si="28"/>
        <v>-109.58611111111111</v>
      </c>
      <c r="M342" s="40" t="s">
        <v>34</v>
      </c>
      <c r="N342" s="41" t="str">
        <f t="shared" si="29"/>
        <v>TERMINO INDEFINIDO NUEVO</v>
      </c>
      <c r="O342" s="42">
        <v>157</v>
      </c>
      <c r="P342" s="42">
        <v>5</v>
      </c>
      <c r="Q342" s="35" t="s">
        <v>30</v>
      </c>
      <c r="R342" s="35">
        <v>5</v>
      </c>
      <c r="S342" s="94">
        <v>3</v>
      </c>
      <c r="T342" s="42">
        <v>5</v>
      </c>
    </row>
    <row r="343" spans="1:20">
      <c r="A343" s="62" t="s">
        <v>511</v>
      </c>
      <c r="B343" s="61">
        <v>1086103420</v>
      </c>
      <c r="C343" s="62" t="s">
        <v>677</v>
      </c>
      <c r="D343" s="62" t="s">
        <v>650</v>
      </c>
      <c r="E343" s="62" t="s">
        <v>678</v>
      </c>
      <c r="F343" s="62"/>
      <c r="G343" s="63">
        <v>2802739.1336794067</v>
      </c>
      <c r="H343" s="127">
        <v>43740</v>
      </c>
      <c r="I343" s="65"/>
      <c r="J343" s="64">
        <v>32446</v>
      </c>
      <c r="K343" s="62">
        <f t="shared" si="27"/>
        <v>-88.833333333333329</v>
      </c>
      <c r="L343" s="62">
        <f t="shared" si="28"/>
        <v>-119.75555555555556</v>
      </c>
      <c r="M343" s="66" t="s">
        <v>34</v>
      </c>
      <c r="N343" s="67" t="str">
        <f t="shared" si="29"/>
        <v>TERMINO INDEFINIDO NUEVO</v>
      </c>
      <c r="O343" s="68">
        <v>157</v>
      </c>
      <c r="P343" s="68">
        <v>5</v>
      </c>
      <c r="Q343" s="69" t="s">
        <v>30</v>
      </c>
      <c r="R343" s="69">
        <v>5</v>
      </c>
      <c r="S343" s="70"/>
      <c r="T343" s="68">
        <v>5</v>
      </c>
    </row>
    <row r="344" spans="1:20">
      <c r="A344" s="25" t="s">
        <v>511</v>
      </c>
      <c r="B344" s="54" t="s">
        <v>679</v>
      </c>
      <c r="C344" s="25" t="s">
        <v>680</v>
      </c>
      <c r="D344" s="25" t="s">
        <v>514</v>
      </c>
      <c r="E344" s="25" t="s">
        <v>656</v>
      </c>
      <c r="F344" s="25"/>
      <c r="G344" s="26">
        <v>2802739.1336794067</v>
      </c>
      <c r="H344" s="85">
        <v>36572</v>
      </c>
      <c r="I344" s="100"/>
      <c r="J344" s="27">
        <v>26221</v>
      </c>
      <c r="K344" s="25">
        <f t="shared" si="27"/>
        <v>-71.791666666666671</v>
      </c>
      <c r="L344" s="25">
        <f t="shared" si="28"/>
        <v>-100.12777777777778</v>
      </c>
      <c r="M344" s="29">
        <v>2</v>
      </c>
      <c r="N344" s="76" t="str">
        <f t="shared" si="29"/>
        <v>TERMINO INDEFINIDO</v>
      </c>
      <c r="O344" s="32">
        <v>157</v>
      </c>
      <c r="P344" s="32">
        <v>5</v>
      </c>
      <c r="Q344" s="29" t="s">
        <v>30</v>
      </c>
      <c r="R344" s="29">
        <v>5</v>
      </c>
      <c r="S344" s="59">
        <v>3</v>
      </c>
      <c r="T344" s="32">
        <v>5</v>
      </c>
    </row>
    <row r="345" spans="1:20">
      <c r="A345" s="36" t="s">
        <v>511</v>
      </c>
      <c r="B345" s="71">
        <v>87511653</v>
      </c>
      <c r="C345" s="36" t="s">
        <v>681</v>
      </c>
      <c r="D345" s="36" t="s">
        <v>650</v>
      </c>
      <c r="E345" s="36" t="s">
        <v>651</v>
      </c>
      <c r="F345" s="36"/>
      <c r="G345" s="37">
        <v>2802739.1336794067</v>
      </c>
      <c r="H345" s="86">
        <v>37803</v>
      </c>
      <c r="I345" s="39"/>
      <c r="J345" s="38">
        <v>25724</v>
      </c>
      <c r="K345" s="36">
        <f t="shared" si="27"/>
        <v>-70.430555555555557</v>
      </c>
      <c r="L345" s="36">
        <f t="shared" si="28"/>
        <v>-103.50277777777778</v>
      </c>
      <c r="M345" s="40" t="s">
        <v>34</v>
      </c>
      <c r="N345" s="41" t="str">
        <f t="shared" si="29"/>
        <v>TERMINO INDEFINIDO NUEVO</v>
      </c>
      <c r="O345" s="42">
        <v>157</v>
      </c>
      <c r="P345" s="42">
        <v>5</v>
      </c>
      <c r="Q345" s="35" t="s">
        <v>30</v>
      </c>
      <c r="R345" s="35">
        <v>5</v>
      </c>
      <c r="S345" s="94">
        <v>3</v>
      </c>
      <c r="T345" s="42">
        <v>5</v>
      </c>
    </row>
    <row r="346" spans="1:20">
      <c r="A346" s="36" t="s">
        <v>511</v>
      </c>
      <c r="B346" s="71">
        <v>93402715</v>
      </c>
      <c r="C346" s="36" t="s">
        <v>682</v>
      </c>
      <c r="D346" s="36" t="s">
        <v>650</v>
      </c>
      <c r="E346" s="36" t="s">
        <v>683</v>
      </c>
      <c r="F346" s="36"/>
      <c r="G346" s="37">
        <v>2802739.1336794067</v>
      </c>
      <c r="H346" s="86">
        <v>42370</v>
      </c>
      <c r="I346" s="39"/>
      <c r="J346" s="38">
        <v>28069</v>
      </c>
      <c r="K346" s="36">
        <f t="shared" si="27"/>
        <v>-76.847222222222229</v>
      </c>
      <c r="L346" s="36">
        <f t="shared" si="28"/>
        <v>-116.00277777777778</v>
      </c>
      <c r="M346" s="40" t="s">
        <v>34</v>
      </c>
      <c r="N346" s="41" t="str">
        <f t="shared" si="29"/>
        <v>TERMINO INDEFINIDO NUEVO</v>
      </c>
      <c r="O346" s="42">
        <v>157</v>
      </c>
      <c r="P346" s="42">
        <v>5</v>
      </c>
      <c r="Q346" s="35" t="s">
        <v>30</v>
      </c>
      <c r="R346" s="35">
        <v>5</v>
      </c>
      <c r="S346" s="94">
        <v>3</v>
      </c>
      <c r="T346" s="42">
        <v>5</v>
      </c>
    </row>
    <row r="347" spans="1:20">
      <c r="A347" s="36" t="s">
        <v>511</v>
      </c>
      <c r="B347" s="71">
        <v>1085921206</v>
      </c>
      <c r="C347" s="36" t="s">
        <v>684</v>
      </c>
      <c r="D347" s="36" t="s">
        <v>650</v>
      </c>
      <c r="E347" s="36" t="s">
        <v>685</v>
      </c>
      <c r="F347" s="36"/>
      <c r="G347" s="37">
        <v>2802739.1336794067</v>
      </c>
      <c r="H347" s="86">
        <v>42832</v>
      </c>
      <c r="I347" s="39"/>
      <c r="J347" s="169">
        <v>33222</v>
      </c>
      <c r="K347" s="36">
        <f t="shared" si="27"/>
        <v>-90.958333333333329</v>
      </c>
      <c r="L347" s="36">
        <f t="shared" si="28"/>
        <v>-117.26944444444445</v>
      </c>
      <c r="M347" s="40" t="s">
        <v>34</v>
      </c>
      <c r="N347" s="41" t="str">
        <f t="shared" si="29"/>
        <v>TERMINO INDEFINIDO NUEVO</v>
      </c>
      <c r="O347" s="42">
        <v>157</v>
      </c>
      <c r="P347" s="42">
        <v>5</v>
      </c>
      <c r="Q347" s="35" t="s">
        <v>30</v>
      </c>
      <c r="R347" s="35">
        <v>5</v>
      </c>
      <c r="S347" s="94">
        <v>3</v>
      </c>
      <c r="T347" s="42">
        <v>5</v>
      </c>
    </row>
    <row r="348" spans="1:20">
      <c r="A348" s="36" t="s">
        <v>511</v>
      </c>
      <c r="B348" s="71">
        <v>13074088</v>
      </c>
      <c r="C348" s="36" t="s">
        <v>686</v>
      </c>
      <c r="D348" s="36" t="s">
        <v>650</v>
      </c>
      <c r="E348" s="36" t="s">
        <v>663</v>
      </c>
      <c r="F348" s="36"/>
      <c r="G348" s="37">
        <v>2802739.1336794067</v>
      </c>
      <c r="H348" s="86">
        <v>42614</v>
      </c>
      <c r="I348" s="39"/>
      <c r="J348" s="169">
        <v>28304</v>
      </c>
      <c r="K348" s="36">
        <f t="shared" si="27"/>
        <v>-77.49444444444444</v>
      </c>
      <c r="L348" s="36">
        <f t="shared" si="28"/>
        <v>-116.66944444444445</v>
      </c>
      <c r="M348" s="40" t="s">
        <v>34</v>
      </c>
      <c r="N348" s="41" t="str">
        <f t="shared" si="29"/>
        <v>TERMINO INDEFINIDO NUEVO</v>
      </c>
      <c r="O348" s="42">
        <v>157</v>
      </c>
      <c r="P348" s="42">
        <v>5</v>
      </c>
      <c r="Q348" s="35" t="s">
        <v>30</v>
      </c>
      <c r="R348" s="35">
        <v>5</v>
      </c>
      <c r="S348" s="94">
        <v>3</v>
      </c>
      <c r="T348" s="42">
        <v>5</v>
      </c>
    </row>
    <row r="349" spans="1:20">
      <c r="A349" s="25" t="s">
        <v>409</v>
      </c>
      <c r="B349" s="54" t="s">
        <v>687</v>
      </c>
      <c r="C349" s="25" t="s">
        <v>688</v>
      </c>
      <c r="D349" s="25" t="s">
        <v>689</v>
      </c>
      <c r="E349" s="25" t="s">
        <v>621</v>
      </c>
      <c r="F349" s="25"/>
      <c r="G349" s="26">
        <v>3231586.9520465797</v>
      </c>
      <c r="H349" s="80">
        <v>33628</v>
      </c>
      <c r="I349" s="39"/>
      <c r="J349" s="27">
        <v>23427</v>
      </c>
      <c r="K349" s="25">
        <f t="shared" si="27"/>
        <v>-64.138888888888886</v>
      </c>
      <c r="L349" s="25">
        <f t="shared" si="28"/>
        <v>-92.069444444444443</v>
      </c>
      <c r="M349" s="29">
        <v>2</v>
      </c>
      <c r="N349" s="76" t="str">
        <f t="shared" si="29"/>
        <v>TERMINO INDEFINIDO</v>
      </c>
      <c r="O349" s="32">
        <v>153</v>
      </c>
      <c r="P349" s="32">
        <v>3</v>
      </c>
      <c r="Q349" s="29" t="s">
        <v>30</v>
      </c>
      <c r="R349" s="29">
        <v>5</v>
      </c>
      <c r="S349" s="59">
        <v>3</v>
      </c>
      <c r="T349" s="32">
        <v>5</v>
      </c>
    </row>
    <row r="350" spans="1:20">
      <c r="A350" s="25" t="s">
        <v>409</v>
      </c>
      <c r="B350" s="54" t="s">
        <v>690</v>
      </c>
      <c r="C350" s="25" t="s">
        <v>691</v>
      </c>
      <c r="D350" s="25" t="s">
        <v>689</v>
      </c>
      <c r="E350" s="25" t="s">
        <v>621</v>
      </c>
      <c r="F350" s="25"/>
      <c r="G350" s="26">
        <v>3231586.9520465797</v>
      </c>
      <c r="H350" s="80">
        <v>33117</v>
      </c>
      <c r="I350" s="39"/>
      <c r="J350" s="27">
        <v>23744</v>
      </c>
      <c r="K350" s="25">
        <f t="shared" si="27"/>
        <v>-65.00555555555556</v>
      </c>
      <c r="L350" s="25">
        <f t="shared" si="28"/>
        <v>-90.669444444444451</v>
      </c>
      <c r="M350" s="29">
        <v>2</v>
      </c>
      <c r="N350" s="76" t="str">
        <f t="shared" si="29"/>
        <v>TERMINO INDEFINIDO</v>
      </c>
      <c r="O350" s="32">
        <v>153</v>
      </c>
      <c r="P350" s="32">
        <v>3</v>
      </c>
      <c r="Q350" s="29" t="s">
        <v>30</v>
      </c>
      <c r="R350" s="29">
        <v>5</v>
      </c>
      <c r="S350" s="59">
        <v>3</v>
      </c>
      <c r="T350" s="32">
        <v>5</v>
      </c>
    </row>
    <row r="351" spans="1:20">
      <c r="A351" s="36" t="s">
        <v>409</v>
      </c>
      <c r="B351" s="71">
        <v>1085899019</v>
      </c>
      <c r="C351" s="36" t="s">
        <v>692</v>
      </c>
      <c r="D351" s="36" t="s">
        <v>689</v>
      </c>
      <c r="E351" s="36" t="s">
        <v>621</v>
      </c>
      <c r="F351" s="36" t="s">
        <v>693</v>
      </c>
      <c r="G351" s="37">
        <v>3231586.9520465797</v>
      </c>
      <c r="H351" s="86">
        <v>39240</v>
      </c>
      <c r="I351" s="39"/>
      <c r="J351" s="38">
        <v>31633</v>
      </c>
      <c r="K351" s="36">
        <f t="shared" si="27"/>
        <v>-86.608333333333334</v>
      </c>
      <c r="L351" s="36">
        <f t="shared" si="28"/>
        <v>-107.43611111111112</v>
      </c>
      <c r="M351" s="40" t="s">
        <v>34</v>
      </c>
      <c r="N351" s="41" t="str">
        <f t="shared" si="29"/>
        <v>TERMINO INDEFINIDO NUEVO</v>
      </c>
      <c r="O351" s="42">
        <v>152</v>
      </c>
      <c r="P351" s="42">
        <v>5</v>
      </c>
      <c r="Q351" s="35" t="s">
        <v>30</v>
      </c>
      <c r="R351" s="35">
        <v>26</v>
      </c>
      <c r="S351" s="94">
        <v>3</v>
      </c>
      <c r="T351" s="42">
        <v>5</v>
      </c>
    </row>
    <row r="352" spans="1:20">
      <c r="A352" s="72" t="s">
        <v>56</v>
      </c>
      <c r="B352" s="54" t="s">
        <v>694</v>
      </c>
      <c r="C352" s="25" t="s">
        <v>695</v>
      </c>
      <c r="D352" s="25" t="s">
        <v>275</v>
      </c>
      <c r="E352" s="25" t="s">
        <v>621</v>
      </c>
      <c r="F352" s="25"/>
      <c r="G352" s="26">
        <v>3231586.9520465797</v>
      </c>
      <c r="H352" s="80">
        <v>33239</v>
      </c>
      <c r="I352" s="39"/>
      <c r="J352" s="27">
        <v>24057</v>
      </c>
      <c r="K352" s="25">
        <f t="shared" si="27"/>
        <v>-65.863888888888894</v>
      </c>
      <c r="L352" s="25">
        <f t="shared" si="28"/>
        <v>-91.00277777777778</v>
      </c>
      <c r="M352" s="29">
        <v>2</v>
      </c>
      <c r="N352" s="76" t="str">
        <f t="shared" si="29"/>
        <v>TERMINO INDEFINIDO</v>
      </c>
      <c r="O352" s="32">
        <v>152</v>
      </c>
      <c r="P352" s="32">
        <v>5</v>
      </c>
      <c r="Q352" s="29" t="s">
        <v>30</v>
      </c>
      <c r="R352" s="29">
        <v>5</v>
      </c>
      <c r="S352" s="59">
        <v>3</v>
      </c>
      <c r="T352" s="32">
        <v>5</v>
      </c>
    </row>
    <row r="353" spans="1:20">
      <c r="A353" s="118" t="s">
        <v>56</v>
      </c>
      <c r="B353" s="61">
        <v>1088648790</v>
      </c>
      <c r="C353" s="62" t="s">
        <v>696</v>
      </c>
      <c r="D353" s="62" t="s">
        <v>275</v>
      </c>
      <c r="E353" s="62" t="s">
        <v>621</v>
      </c>
      <c r="F353" s="62"/>
      <c r="G353" s="63">
        <v>3231586.9520465797</v>
      </c>
      <c r="H353" s="127">
        <v>44733</v>
      </c>
      <c r="I353" s="65"/>
      <c r="J353" s="64">
        <v>31468</v>
      </c>
      <c r="K353" s="62">
        <f t="shared" si="27"/>
        <v>-86.152777777777771</v>
      </c>
      <c r="L353" s="62">
        <f t="shared" si="28"/>
        <v>-122.47499999999999</v>
      </c>
      <c r="M353" s="66" t="s">
        <v>34</v>
      </c>
      <c r="N353" s="74" t="str">
        <f t="shared" si="29"/>
        <v>TERMINO INDEFINIDO NUEVO</v>
      </c>
      <c r="O353" s="69">
        <v>152</v>
      </c>
      <c r="P353" s="69">
        <v>5</v>
      </c>
      <c r="Q353" s="69" t="s">
        <v>30</v>
      </c>
      <c r="R353" s="69">
        <v>5</v>
      </c>
      <c r="S353" s="70">
        <v>3</v>
      </c>
      <c r="T353" s="68">
        <v>5</v>
      </c>
    </row>
    <row r="354" spans="1:20">
      <c r="A354" s="118" t="s">
        <v>56</v>
      </c>
      <c r="B354" s="61">
        <v>1086106548</v>
      </c>
      <c r="C354" s="62" t="s">
        <v>697</v>
      </c>
      <c r="D354" s="62" t="s">
        <v>275</v>
      </c>
      <c r="E354" s="62" t="s">
        <v>621</v>
      </c>
      <c r="F354" s="62"/>
      <c r="G354" s="63">
        <v>3231586.9520465797</v>
      </c>
      <c r="H354" s="170">
        <v>43868</v>
      </c>
      <c r="I354" s="65"/>
      <c r="J354" s="64">
        <v>35012</v>
      </c>
      <c r="K354" s="62">
        <f t="shared" si="27"/>
        <v>-95.858333333333334</v>
      </c>
      <c r="L354" s="62">
        <f t="shared" si="28"/>
        <v>-120.10277777777777</v>
      </c>
      <c r="M354" s="66" t="s">
        <v>34</v>
      </c>
      <c r="N354" s="74" t="str">
        <f t="shared" si="29"/>
        <v>TERMINO INDEFINIDO NUEVO</v>
      </c>
      <c r="O354" s="69">
        <v>152</v>
      </c>
      <c r="P354" s="69">
        <v>5</v>
      </c>
      <c r="Q354" s="69" t="s">
        <v>30</v>
      </c>
      <c r="R354" s="69">
        <v>5</v>
      </c>
      <c r="S354" s="70">
        <v>3</v>
      </c>
      <c r="T354" s="68">
        <v>5</v>
      </c>
    </row>
    <row r="355" spans="1:20">
      <c r="A355" s="114" t="s">
        <v>56</v>
      </c>
      <c r="B355" s="71">
        <v>12987536</v>
      </c>
      <c r="C355" s="36" t="s">
        <v>698</v>
      </c>
      <c r="D355" s="36" t="s">
        <v>275</v>
      </c>
      <c r="E355" s="36" t="s">
        <v>621</v>
      </c>
      <c r="F355" s="36" t="s">
        <v>699</v>
      </c>
      <c r="G355" s="37">
        <v>3231586.9520465797</v>
      </c>
      <c r="H355" s="86">
        <v>41690</v>
      </c>
      <c r="I355" s="39"/>
      <c r="J355" s="38">
        <v>24382</v>
      </c>
      <c r="K355" s="36">
        <f t="shared" si="27"/>
        <v>-66.75555555555556</v>
      </c>
      <c r="L355" s="36">
        <f t="shared" si="28"/>
        <v>-114.13888888888889</v>
      </c>
      <c r="M355" s="40" t="s">
        <v>34</v>
      </c>
      <c r="N355" s="34" t="str">
        <f t="shared" si="29"/>
        <v>TERMINO INDEFINIDO NUEVO</v>
      </c>
      <c r="O355" s="35">
        <v>152</v>
      </c>
      <c r="P355" s="35">
        <v>5</v>
      </c>
      <c r="Q355" s="35" t="s">
        <v>30</v>
      </c>
      <c r="R355" s="35">
        <v>5</v>
      </c>
      <c r="S355" s="94">
        <v>3</v>
      </c>
      <c r="T355" s="42">
        <v>5</v>
      </c>
    </row>
    <row r="356" spans="1:20">
      <c r="A356" s="171" t="s">
        <v>56</v>
      </c>
      <c r="B356" s="45">
        <v>1085942409</v>
      </c>
      <c r="C356" s="44" t="s">
        <v>700</v>
      </c>
      <c r="D356" s="44" t="s">
        <v>275</v>
      </c>
      <c r="E356" s="44" t="s">
        <v>621</v>
      </c>
      <c r="F356" s="44" t="s">
        <v>701</v>
      </c>
      <c r="G356" s="46">
        <v>3231587.2779000001</v>
      </c>
      <c r="H356" s="132">
        <v>45160</v>
      </c>
      <c r="I356" s="48"/>
      <c r="J356" s="47">
        <v>35209</v>
      </c>
      <c r="K356" s="44">
        <f t="shared" si="27"/>
        <v>-96.4</v>
      </c>
      <c r="L356" s="44">
        <f t="shared" si="28"/>
        <v>-123.64444444444445</v>
      </c>
      <c r="M356" s="49" t="s">
        <v>34</v>
      </c>
      <c r="N356" s="50" t="str">
        <f t="shared" si="29"/>
        <v>TERMINO INDEFINIDO NUEVO</v>
      </c>
      <c r="O356" s="51">
        <v>152</v>
      </c>
      <c r="P356" s="51">
        <v>5</v>
      </c>
      <c r="Q356" s="51" t="s">
        <v>30</v>
      </c>
      <c r="R356" s="51">
        <v>5</v>
      </c>
      <c r="S356" s="97">
        <v>3</v>
      </c>
      <c r="T356" s="53">
        <v>5</v>
      </c>
    </row>
    <row r="357" spans="1:20">
      <c r="A357" s="171" t="s">
        <v>56</v>
      </c>
      <c r="B357" s="45">
        <v>1085922732</v>
      </c>
      <c r="C357" s="44" t="s">
        <v>702</v>
      </c>
      <c r="D357" s="44" t="s">
        <v>58</v>
      </c>
      <c r="E357" s="44" t="s">
        <v>621</v>
      </c>
      <c r="F357" s="44"/>
      <c r="G357" s="46">
        <v>3231586.9520465797</v>
      </c>
      <c r="H357" s="132">
        <v>44594</v>
      </c>
      <c r="I357" s="48"/>
      <c r="J357" s="47">
        <v>33317</v>
      </c>
      <c r="K357" s="44">
        <f t="shared" si="27"/>
        <v>-91.222222222222229</v>
      </c>
      <c r="L357" s="44">
        <f t="shared" si="28"/>
        <v>-122.08888888888889</v>
      </c>
      <c r="M357" s="49" t="s">
        <v>34</v>
      </c>
      <c r="N357" s="50" t="str">
        <f t="shared" si="29"/>
        <v>TERMINO INDEFINIDO NUEVO</v>
      </c>
      <c r="O357" s="51">
        <v>152</v>
      </c>
      <c r="P357" s="51">
        <v>5</v>
      </c>
      <c r="Q357" s="51" t="s">
        <v>30</v>
      </c>
      <c r="R357" s="51">
        <v>5</v>
      </c>
      <c r="S357" s="97">
        <v>3</v>
      </c>
      <c r="T357" s="53">
        <v>5</v>
      </c>
    </row>
    <row r="358" spans="1:20">
      <c r="A358" s="118" t="s">
        <v>56</v>
      </c>
      <c r="B358" s="61">
        <v>87101265</v>
      </c>
      <c r="C358" s="62" t="s">
        <v>703</v>
      </c>
      <c r="D358" s="62" t="s">
        <v>58</v>
      </c>
      <c r="E358" s="62" t="s">
        <v>621</v>
      </c>
      <c r="F358" s="62" t="s">
        <v>704</v>
      </c>
      <c r="G358" s="63">
        <v>3231586.9520465797</v>
      </c>
      <c r="H358" s="127">
        <v>43118</v>
      </c>
      <c r="I358" s="65"/>
      <c r="J358" s="64">
        <v>29000</v>
      </c>
      <c r="K358" s="62">
        <f t="shared" si="27"/>
        <v>-79.402777777777771</v>
      </c>
      <c r="L358" s="62">
        <f t="shared" si="28"/>
        <v>-118.05</v>
      </c>
      <c r="M358" s="66" t="s">
        <v>34</v>
      </c>
      <c r="N358" s="74" t="str">
        <f t="shared" si="29"/>
        <v>TERMINO INDEFINIDO NUEVO</v>
      </c>
      <c r="O358" s="69">
        <v>152</v>
      </c>
      <c r="P358" s="69">
        <v>5</v>
      </c>
      <c r="Q358" s="69" t="s">
        <v>30</v>
      </c>
      <c r="R358" s="69">
        <v>5</v>
      </c>
      <c r="S358" s="70">
        <v>5</v>
      </c>
      <c r="T358" s="68">
        <v>5</v>
      </c>
    </row>
    <row r="359" spans="1:20">
      <c r="A359" s="25" t="s">
        <v>264</v>
      </c>
      <c r="B359" s="54">
        <v>5212322</v>
      </c>
      <c r="C359" s="25" t="s">
        <v>705</v>
      </c>
      <c r="D359" s="25" t="s">
        <v>267</v>
      </c>
      <c r="E359" s="25" t="s">
        <v>621</v>
      </c>
      <c r="F359" s="25"/>
      <c r="G359" s="26">
        <v>3231586.9520465797</v>
      </c>
      <c r="H359" s="80">
        <v>33637</v>
      </c>
      <c r="I359" s="39"/>
      <c r="J359" s="27">
        <v>23933</v>
      </c>
      <c r="K359" s="25">
        <f t="shared" si="27"/>
        <v>-65.527777777777771</v>
      </c>
      <c r="L359" s="25">
        <f t="shared" si="28"/>
        <v>-92.091666666666669</v>
      </c>
      <c r="M359" s="29">
        <v>2</v>
      </c>
      <c r="N359" s="30" t="str">
        <f t="shared" si="29"/>
        <v>TERMINO INDEFINIDO</v>
      </c>
      <c r="O359" s="29">
        <v>153</v>
      </c>
      <c r="P359" s="29">
        <v>3</v>
      </c>
      <c r="Q359" s="29" t="s">
        <v>30</v>
      </c>
      <c r="R359" s="29">
        <v>5</v>
      </c>
      <c r="S359" s="59">
        <v>3</v>
      </c>
      <c r="T359" s="32">
        <v>7</v>
      </c>
    </row>
    <row r="360" spans="1:20">
      <c r="A360" s="25" t="s">
        <v>264</v>
      </c>
      <c r="B360" s="54">
        <v>5212810</v>
      </c>
      <c r="C360" s="25" t="s">
        <v>706</v>
      </c>
      <c r="D360" s="25" t="s">
        <v>267</v>
      </c>
      <c r="E360" s="25" t="s">
        <v>621</v>
      </c>
      <c r="F360" s="25"/>
      <c r="G360" s="26">
        <v>3231586.9520465797</v>
      </c>
      <c r="H360" s="80">
        <v>36192</v>
      </c>
      <c r="I360" s="39"/>
      <c r="J360" s="27">
        <v>27691</v>
      </c>
      <c r="K360" s="25">
        <f t="shared" si="27"/>
        <v>-75.816666666666663</v>
      </c>
      <c r="L360" s="25">
        <f t="shared" si="28"/>
        <v>-99.086111111111109</v>
      </c>
      <c r="M360" s="29">
        <v>2</v>
      </c>
      <c r="N360" s="30" t="str">
        <f t="shared" si="29"/>
        <v>TERMINO INDEFINIDO</v>
      </c>
      <c r="O360" s="29">
        <v>153</v>
      </c>
      <c r="P360" s="29">
        <v>3</v>
      </c>
      <c r="Q360" s="29" t="s">
        <v>30</v>
      </c>
      <c r="R360" s="29">
        <v>5</v>
      </c>
      <c r="S360" s="59">
        <v>5</v>
      </c>
      <c r="T360" s="32">
        <v>7</v>
      </c>
    </row>
    <row r="361" spans="1:20">
      <c r="A361" s="25" t="s">
        <v>264</v>
      </c>
      <c r="B361" s="54" t="s">
        <v>707</v>
      </c>
      <c r="C361" s="25" t="s">
        <v>708</v>
      </c>
      <c r="D361" s="25" t="s">
        <v>267</v>
      </c>
      <c r="E361" s="25" t="s">
        <v>621</v>
      </c>
      <c r="F361" s="25"/>
      <c r="G361" s="26">
        <v>3231586.9520465797</v>
      </c>
      <c r="H361" s="80">
        <v>36293</v>
      </c>
      <c r="I361" s="39"/>
      <c r="J361" s="27">
        <v>23840</v>
      </c>
      <c r="K361" s="25">
        <f t="shared" si="27"/>
        <v>-65.272222222222226</v>
      </c>
      <c r="L361" s="25">
        <f t="shared" si="28"/>
        <v>-99.36944444444444</v>
      </c>
      <c r="M361" s="29">
        <v>2</v>
      </c>
      <c r="N361" s="76" t="str">
        <f t="shared" si="29"/>
        <v>TERMINO INDEFINIDO</v>
      </c>
      <c r="O361" s="32">
        <v>153</v>
      </c>
      <c r="P361" s="32">
        <v>3</v>
      </c>
      <c r="Q361" s="29" t="s">
        <v>30</v>
      </c>
      <c r="R361" s="29">
        <v>5</v>
      </c>
      <c r="S361" s="59">
        <v>3</v>
      </c>
      <c r="T361" s="32">
        <v>7</v>
      </c>
    </row>
    <row r="362" spans="1:20">
      <c r="A362" s="25" t="s">
        <v>264</v>
      </c>
      <c r="B362" s="54" t="s">
        <v>709</v>
      </c>
      <c r="C362" s="25" t="s">
        <v>710</v>
      </c>
      <c r="D362" s="25" t="s">
        <v>267</v>
      </c>
      <c r="E362" s="25" t="s">
        <v>621</v>
      </c>
      <c r="F362" s="25"/>
      <c r="G362" s="26">
        <v>3231586.9520465797</v>
      </c>
      <c r="H362" s="80">
        <v>34731</v>
      </c>
      <c r="I362" s="39"/>
      <c r="J362" s="27">
        <v>25745</v>
      </c>
      <c r="K362" s="25">
        <f t="shared" si="27"/>
        <v>-70.488888888888894</v>
      </c>
      <c r="L362" s="25">
        <f t="shared" si="28"/>
        <v>-95.086111111111109</v>
      </c>
      <c r="M362" s="29">
        <v>2</v>
      </c>
      <c r="N362" s="76" t="str">
        <f t="shared" si="29"/>
        <v>TERMINO INDEFINIDO</v>
      </c>
      <c r="O362" s="32">
        <v>153</v>
      </c>
      <c r="P362" s="32">
        <v>3</v>
      </c>
      <c r="Q362" s="29" t="s">
        <v>30</v>
      </c>
      <c r="R362" s="29">
        <v>5</v>
      </c>
      <c r="S362" s="59">
        <v>3</v>
      </c>
      <c r="T362" s="32">
        <v>7</v>
      </c>
    </row>
    <row r="363" spans="1:20">
      <c r="A363" s="25" t="s">
        <v>331</v>
      </c>
      <c r="B363" s="54">
        <v>5212319</v>
      </c>
      <c r="C363" s="25" t="s">
        <v>711</v>
      </c>
      <c r="D363" s="25" t="s">
        <v>353</v>
      </c>
      <c r="E363" s="25" t="s">
        <v>621</v>
      </c>
      <c r="F363" s="25"/>
      <c r="G363" s="26">
        <v>3120218.4554910217</v>
      </c>
      <c r="H363" s="80">
        <v>33239</v>
      </c>
      <c r="I363" s="39"/>
      <c r="J363" s="27">
        <v>23025</v>
      </c>
      <c r="K363" s="25">
        <f t="shared" si="27"/>
        <v>-63.038888888888891</v>
      </c>
      <c r="L363" s="25">
        <f t="shared" si="28"/>
        <v>-91.00277777777778</v>
      </c>
      <c r="M363" s="29">
        <v>2</v>
      </c>
      <c r="N363" s="76" t="str">
        <f t="shared" si="29"/>
        <v>TERMINO INDEFINIDO</v>
      </c>
      <c r="O363" s="32">
        <v>153</v>
      </c>
      <c r="P363" s="32">
        <v>3</v>
      </c>
      <c r="Q363" s="29" t="s">
        <v>30</v>
      </c>
      <c r="R363" s="29">
        <v>5</v>
      </c>
      <c r="S363" s="59">
        <v>3</v>
      </c>
      <c r="T363" s="32">
        <v>5</v>
      </c>
    </row>
    <row r="364" spans="1:20">
      <c r="A364" s="25" t="s">
        <v>331</v>
      </c>
      <c r="B364" s="89">
        <v>1085934492</v>
      </c>
      <c r="C364" s="25" t="s">
        <v>712</v>
      </c>
      <c r="D364" s="25" t="s">
        <v>333</v>
      </c>
      <c r="E364" s="25" t="s">
        <v>621</v>
      </c>
      <c r="F364" s="25" t="s">
        <v>713</v>
      </c>
      <c r="G364" s="26">
        <v>3120218.4554910217</v>
      </c>
      <c r="H364" s="80">
        <v>45418</v>
      </c>
      <c r="I364" s="28">
        <v>46387</v>
      </c>
      <c r="J364" s="27">
        <v>34393</v>
      </c>
      <c r="K364" s="25">
        <f t="shared" si="27"/>
        <v>-94.166666666666671</v>
      </c>
      <c r="L364" s="25">
        <f t="shared" si="28"/>
        <v>-124.35</v>
      </c>
      <c r="M364" s="29">
        <v>1</v>
      </c>
      <c r="N364" s="76" t="str">
        <f t="shared" si="29"/>
        <v>TERMINO FIJO</v>
      </c>
      <c r="O364" s="32">
        <v>153</v>
      </c>
      <c r="P364" s="32">
        <v>3</v>
      </c>
      <c r="Q364" s="29" t="s">
        <v>30</v>
      </c>
      <c r="R364" s="29">
        <v>5</v>
      </c>
      <c r="S364" s="59">
        <v>3</v>
      </c>
      <c r="T364" s="32">
        <v>5</v>
      </c>
    </row>
    <row r="365" spans="1:20">
      <c r="A365" s="36" t="s">
        <v>331</v>
      </c>
      <c r="B365" s="71">
        <v>98352500</v>
      </c>
      <c r="C365" s="36" t="s">
        <v>714</v>
      </c>
      <c r="D365" s="36" t="s">
        <v>353</v>
      </c>
      <c r="E365" s="36" t="s">
        <v>621</v>
      </c>
      <c r="F365" s="36"/>
      <c r="G365" s="37">
        <v>3120218.4554910217</v>
      </c>
      <c r="H365" s="86">
        <v>39508</v>
      </c>
      <c r="I365" s="39"/>
      <c r="J365" s="38">
        <v>26796</v>
      </c>
      <c r="K365" s="36">
        <f t="shared" si="27"/>
        <v>-73.36666666666666</v>
      </c>
      <c r="L365" s="36">
        <f t="shared" si="28"/>
        <v>-108.16944444444445</v>
      </c>
      <c r="M365" s="40" t="s">
        <v>34</v>
      </c>
      <c r="N365" s="41" t="str">
        <f t="shared" si="29"/>
        <v>TERMINO INDEFINIDO NUEVO</v>
      </c>
      <c r="O365" s="42">
        <v>152</v>
      </c>
      <c r="P365" s="42">
        <v>5</v>
      </c>
      <c r="Q365" s="35" t="s">
        <v>30</v>
      </c>
      <c r="R365" s="35">
        <v>5</v>
      </c>
      <c r="S365" s="94">
        <v>3</v>
      </c>
      <c r="T365" s="42">
        <v>5</v>
      </c>
    </row>
    <row r="366" spans="1:20">
      <c r="A366" s="36" t="s">
        <v>331</v>
      </c>
      <c r="B366" s="71">
        <v>5212418</v>
      </c>
      <c r="C366" s="36" t="s">
        <v>715</v>
      </c>
      <c r="D366" s="36" t="s">
        <v>353</v>
      </c>
      <c r="E366" s="36" t="s">
        <v>621</v>
      </c>
      <c r="F366" s="36"/>
      <c r="G366" s="37">
        <v>3120218.4554910217</v>
      </c>
      <c r="H366" s="86">
        <v>38147</v>
      </c>
      <c r="I366" s="39"/>
      <c r="J366" s="38">
        <v>24084</v>
      </c>
      <c r="K366" s="36">
        <f t="shared" si="27"/>
        <v>-65.938888888888883</v>
      </c>
      <c r="L366" s="36">
        <f t="shared" si="28"/>
        <v>-104.44166666666666</v>
      </c>
      <c r="M366" s="40" t="s">
        <v>34</v>
      </c>
      <c r="N366" s="41" t="str">
        <f t="shared" si="29"/>
        <v>TERMINO INDEFINIDO NUEVO</v>
      </c>
      <c r="O366" s="42">
        <v>153</v>
      </c>
      <c r="P366" s="42">
        <v>3</v>
      </c>
      <c r="Q366" s="35" t="s">
        <v>30</v>
      </c>
      <c r="R366" s="35">
        <v>5</v>
      </c>
      <c r="S366" s="94">
        <v>3</v>
      </c>
      <c r="T366" s="42">
        <v>5</v>
      </c>
    </row>
    <row r="367" spans="1:20">
      <c r="A367" s="36" t="s">
        <v>331</v>
      </c>
      <c r="B367" s="71">
        <v>98364879</v>
      </c>
      <c r="C367" s="36" t="s">
        <v>716</v>
      </c>
      <c r="D367" s="36" t="s">
        <v>353</v>
      </c>
      <c r="E367" s="36" t="s">
        <v>621</v>
      </c>
      <c r="F367" s="36"/>
      <c r="G367" s="37">
        <v>3120218.4554910217</v>
      </c>
      <c r="H367" s="86">
        <v>37838</v>
      </c>
      <c r="I367" s="39"/>
      <c r="J367" s="38">
        <v>26444</v>
      </c>
      <c r="K367" s="36">
        <f t="shared" si="27"/>
        <v>-72.402777777777771</v>
      </c>
      <c r="L367" s="36">
        <f t="shared" si="28"/>
        <v>-103.59722222222223</v>
      </c>
      <c r="M367" s="40" t="s">
        <v>34</v>
      </c>
      <c r="N367" s="41" t="str">
        <f t="shared" si="29"/>
        <v>TERMINO INDEFINIDO NUEVO</v>
      </c>
      <c r="O367" s="42">
        <v>153</v>
      </c>
      <c r="P367" s="42">
        <v>3</v>
      </c>
      <c r="Q367" s="35" t="s">
        <v>30</v>
      </c>
      <c r="R367" s="35">
        <v>5</v>
      </c>
      <c r="S367" s="94">
        <v>3</v>
      </c>
      <c r="T367" s="42">
        <v>5</v>
      </c>
    </row>
    <row r="368" spans="1:20">
      <c r="A368" s="36" t="s">
        <v>331</v>
      </c>
      <c r="B368" s="71">
        <v>87718837</v>
      </c>
      <c r="C368" s="36" t="s">
        <v>717</v>
      </c>
      <c r="D368" s="36" t="s">
        <v>353</v>
      </c>
      <c r="E368" s="36" t="s">
        <v>621</v>
      </c>
      <c r="F368" s="36"/>
      <c r="G368" s="37">
        <v>3120218.4554910217</v>
      </c>
      <c r="H368" s="86">
        <v>38322</v>
      </c>
      <c r="I368" s="39"/>
      <c r="J368" s="38">
        <v>28283</v>
      </c>
      <c r="K368" s="36">
        <f t="shared" si="27"/>
        <v>-77.436111111111117</v>
      </c>
      <c r="L368" s="36">
        <f t="shared" si="28"/>
        <v>-104.91944444444445</v>
      </c>
      <c r="M368" s="40" t="s">
        <v>34</v>
      </c>
      <c r="N368" s="41" t="str">
        <f t="shared" si="29"/>
        <v>TERMINO INDEFINIDO NUEVO</v>
      </c>
      <c r="O368" s="42">
        <v>153</v>
      </c>
      <c r="P368" s="42">
        <v>3</v>
      </c>
      <c r="Q368" s="35" t="s">
        <v>30</v>
      </c>
      <c r="R368" s="35">
        <v>5</v>
      </c>
      <c r="S368" s="94">
        <v>3</v>
      </c>
      <c r="T368" s="42">
        <v>5</v>
      </c>
    </row>
    <row r="369" spans="1:20">
      <c r="A369" s="36" t="s">
        <v>286</v>
      </c>
      <c r="B369" s="71">
        <v>87215498</v>
      </c>
      <c r="C369" s="36" t="s">
        <v>718</v>
      </c>
      <c r="D369" s="36" t="s">
        <v>288</v>
      </c>
      <c r="E369" s="36" t="s">
        <v>621</v>
      </c>
      <c r="F369" s="36" t="s">
        <v>719</v>
      </c>
      <c r="G369" s="37">
        <v>2786824.7655346259</v>
      </c>
      <c r="H369" s="86">
        <v>39510</v>
      </c>
      <c r="I369" s="39"/>
      <c r="J369" s="38">
        <v>30328</v>
      </c>
      <c r="K369" s="36">
        <f t="shared" si="27"/>
        <v>-83.033333333333331</v>
      </c>
      <c r="L369" s="36">
        <f t="shared" si="28"/>
        <v>-108.175</v>
      </c>
      <c r="M369" s="40" t="s">
        <v>34</v>
      </c>
      <c r="N369" s="41" t="str">
        <f t="shared" si="29"/>
        <v>TERMINO INDEFINIDO NUEVO</v>
      </c>
      <c r="O369" s="42">
        <v>157</v>
      </c>
      <c r="P369" s="42">
        <v>5</v>
      </c>
      <c r="Q369" s="35" t="s">
        <v>30</v>
      </c>
      <c r="R369" s="35">
        <v>5</v>
      </c>
      <c r="S369" s="94">
        <v>3</v>
      </c>
      <c r="T369" s="42">
        <v>5</v>
      </c>
    </row>
    <row r="370" spans="1:20" ht="31.8">
      <c r="A370" s="25" t="s">
        <v>286</v>
      </c>
      <c r="B370" s="89">
        <v>98363641</v>
      </c>
      <c r="C370" s="89" t="s">
        <v>720</v>
      </c>
      <c r="D370" s="25" t="s">
        <v>288</v>
      </c>
      <c r="E370" s="25" t="s">
        <v>621</v>
      </c>
      <c r="F370" s="25"/>
      <c r="G370" s="26">
        <v>2786824.4193000002</v>
      </c>
      <c r="H370" s="27">
        <v>46239</v>
      </c>
      <c r="I370" s="28">
        <v>46295</v>
      </c>
      <c r="J370" s="27"/>
      <c r="K370" s="25">
        <f t="shared" si="27"/>
        <v>0</v>
      </c>
      <c r="L370" s="25">
        <f t="shared" si="28"/>
        <v>-126.59722222222223</v>
      </c>
      <c r="M370" s="73">
        <v>1</v>
      </c>
      <c r="N370" s="76" t="str">
        <f t="shared" si="29"/>
        <v>TERMINO FIJO</v>
      </c>
      <c r="O370" s="32">
        <v>152</v>
      </c>
      <c r="P370" s="32">
        <v>5</v>
      </c>
      <c r="Q370" s="29" t="s">
        <v>30</v>
      </c>
      <c r="R370" s="29">
        <v>5</v>
      </c>
      <c r="S370" s="59">
        <v>3</v>
      </c>
      <c r="T370" s="32">
        <v>5</v>
      </c>
    </row>
    <row r="371" spans="1:20">
      <c r="A371" s="104" t="s">
        <v>277</v>
      </c>
      <c r="B371" s="61">
        <v>1086103352</v>
      </c>
      <c r="C371" s="62" t="s">
        <v>721</v>
      </c>
      <c r="D371" s="62" t="s">
        <v>211</v>
      </c>
      <c r="E371" s="62" t="s">
        <v>621</v>
      </c>
      <c r="F371" s="62"/>
      <c r="G371" s="63">
        <v>2800872.7546122903</v>
      </c>
      <c r="H371" s="127">
        <v>42979</v>
      </c>
      <c r="I371" s="65"/>
      <c r="J371" s="64">
        <v>32425</v>
      </c>
      <c r="K371" s="62">
        <f t="shared" si="27"/>
        <v>-88.775000000000006</v>
      </c>
      <c r="L371" s="62">
        <f t="shared" si="28"/>
        <v>-117.66944444444445</v>
      </c>
      <c r="M371" s="66" t="s">
        <v>34</v>
      </c>
      <c r="N371" s="74" t="str">
        <f t="shared" si="29"/>
        <v>TERMINO INDEFINIDO NUEVO</v>
      </c>
      <c r="O371" s="69">
        <v>152</v>
      </c>
      <c r="P371" s="69">
        <v>5</v>
      </c>
      <c r="Q371" s="69" t="s">
        <v>30</v>
      </c>
      <c r="R371" s="69">
        <v>5</v>
      </c>
      <c r="S371" s="70">
        <v>3</v>
      </c>
      <c r="T371" s="68">
        <v>7</v>
      </c>
    </row>
    <row r="372" spans="1:20">
      <c r="A372" s="36" t="s">
        <v>237</v>
      </c>
      <c r="B372" s="71">
        <v>98341807</v>
      </c>
      <c r="C372" s="36" t="s">
        <v>722</v>
      </c>
      <c r="D372" s="36" t="s">
        <v>239</v>
      </c>
      <c r="E372" s="36" t="s">
        <v>621</v>
      </c>
      <c r="F372" s="36"/>
      <c r="G372" s="37">
        <v>2796466.8424588195</v>
      </c>
      <c r="H372" s="86">
        <v>38216</v>
      </c>
      <c r="I372" s="39"/>
      <c r="J372" s="38">
        <v>24838</v>
      </c>
      <c r="K372" s="36">
        <f t="shared" si="27"/>
        <v>-68.00277777777778</v>
      </c>
      <c r="L372" s="36">
        <f t="shared" si="28"/>
        <v>-104.63055555555556</v>
      </c>
      <c r="M372" s="40" t="s">
        <v>34</v>
      </c>
      <c r="N372" s="41" t="str">
        <f t="shared" si="29"/>
        <v>TERMINO INDEFINIDO NUEVO</v>
      </c>
      <c r="O372" s="42">
        <v>151</v>
      </c>
      <c r="P372" s="42">
        <v>4</v>
      </c>
      <c r="Q372" s="35" t="s">
        <v>30</v>
      </c>
      <c r="R372" s="35">
        <v>5</v>
      </c>
      <c r="S372" s="94">
        <v>3</v>
      </c>
      <c r="T372" s="42">
        <v>7</v>
      </c>
    </row>
    <row r="373" spans="1:20">
      <c r="A373" s="36" t="s">
        <v>237</v>
      </c>
      <c r="B373" s="71">
        <v>87715905</v>
      </c>
      <c r="C373" s="36" t="s">
        <v>723</v>
      </c>
      <c r="D373" s="36" t="s">
        <v>239</v>
      </c>
      <c r="E373" s="36" t="s">
        <v>621</v>
      </c>
      <c r="F373" s="36"/>
      <c r="G373" s="37">
        <v>2796467.0856218925</v>
      </c>
      <c r="H373" s="86">
        <v>39419</v>
      </c>
      <c r="I373" s="39"/>
      <c r="J373" s="38">
        <v>27268</v>
      </c>
      <c r="K373" s="36">
        <f t="shared" si="27"/>
        <v>-74.658333333333331</v>
      </c>
      <c r="L373" s="36">
        <f t="shared" si="28"/>
        <v>-107.925</v>
      </c>
      <c r="M373" s="40" t="s">
        <v>34</v>
      </c>
      <c r="N373" s="41" t="str">
        <f t="shared" si="29"/>
        <v>TERMINO INDEFINIDO NUEVO</v>
      </c>
      <c r="O373" s="42">
        <v>151</v>
      </c>
      <c r="P373" s="42">
        <v>4</v>
      </c>
      <c r="Q373" s="35" t="s">
        <v>30</v>
      </c>
      <c r="R373" s="35">
        <v>5</v>
      </c>
      <c r="S373" s="43">
        <v>2</v>
      </c>
      <c r="T373" s="42">
        <v>7</v>
      </c>
    </row>
    <row r="374" spans="1:20">
      <c r="A374" s="44" t="s">
        <v>67</v>
      </c>
      <c r="B374" s="172">
        <v>1088255098</v>
      </c>
      <c r="C374" s="44" t="s">
        <v>724</v>
      </c>
      <c r="D374" s="44" t="s">
        <v>725</v>
      </c>
      <c r="E374" s="44" t="s">
        <v>726</v>
      </c>
      <c r="F374" s="44" t="s">
        <v>727</v>
      </c>
      <c r="G374" s="46">
        <v>9446508.7131569237</v>
      </c>
      <c r="H374" s="47">
        <v>45307</v>
      </c>
      <c r="I374" s="48"/>
      <c r="J374" s="47">
        <v>32080</v>
      </c>
      <c r="K374" s="44">
        <f>(DAYS360(J374,$K$1))/360</f>
        <v>-87.833333333333329</v>
      </c>
      <c r="L374" s="44">
        <f>(DAYS360(H374,$K$1))/360</f>
        <v>-124.04444444444445</v>
      </c>
      <c r="M374" s="49" t="s">
        <v>34</v>
      </c>
      <c r="N374" s="106" t="str">
        <f t="shared" si="29"/>
        <v>TERMINO INDEFINIDO NUEVO</v>
      </c>
      <c r="O374" s="53">
        <v>161</v>
      </c>
      <c r="P374" s="53">
        <v>4</v>
      </c>
      <c r="Q374" s="51" t="s">
        <v>35</v>
      </c>
      <c r="R374" s="51">
        <v>34</v>
      </c>
      <c r="S374" s="97">
        <v>5</v>
      </c>
      <c r="T374" s="53">
        <v>4</v>
      </c>
    </row>
    <row r="375" spans="1:20">
      <c r="A375" s="25" t="s">
        <v>45</v>
      </c>
      <c r="B375" s="25" t="s">
        <v>728</v>
      </c>
      <c r="C375" s="25" t="s">
        <v>729</v>
      </c>
      <c r="D375" s="25" t="s">
        <v>75</v>
      </c>
      <c r="E375" s="25" t="s">
        <v>726</v>
      </c>
      <c r="F375" s="25"/>
      <c r="G375" s="26">
        <v>6967259.7986902911</v>
      </c>
      <c r="H375" s="27">
        <v>30872</v>
      </c>
      <c r="I375" s="28"/>
      <c r="J375" s="27">
        <v>23100</v>
      </c>
      <c r="K375" s="25">
        <f t="shared" ref="K375:K420" si="30">(DAYS360(J375,$K$1))/360</f>
        <v>-63.25</v>
      </c>
      <c r="L375" s="25">
        <f t="shared" ref="L375:L420" si="31">(DAYS360(H375,$K$1))/360</f>
        <v>-84.525000000000006</v>
      </c>
      <c r="M375" s="29">
        <v>2</v>
      </c>
      <c r="N375" s="30" t="str">
        <f t="shared" si="29"/>
        <v>TERMINO INDEFINIDO</v>
      </c>
      <c r="O375" s="29">
        <v>164</v>
      </c>
      <c r="P375" s="29">
        <v>4</v>
      </c>
      <c r="Q375" s="29" t="s">
        <v>30</v>
      </c>
      <c r="R375" s="29">
        <v>34</v>
      </c>
      <c r="S375" s="59">
        <v>5</v>
      </c>
      <c r="T375" s="32">
        <v>4</v>
      </c>
    </row>
    <row r="376" spans="1:20">
      <c r="A376" s="25" t="s">
        <v>134</v>
      </c>
      <c r="B376" s="25" t="s">
        <v>730</v>
      </c>
      <c r="C376" s="25" t="s">
        <v>731</v>
      </c>
      <c r="D376" s="25" t="s">
        <v>137</v>
      </c>
      <c r="E376" s="25" t="s">
        <v>726</v>
      </c>
      <c r="F376" s="25"/>
      <c r="G376" s="26">
        <v>5637209.9356840365</v>
      </c>
      <c r="H376" s="27">
        <v>32944</v>
      </c>
      <c r="I376" s="28"/>
      <c r="J376" s="27">
        <v>23969</v>
      </c>
      <c r="K376" s="25">
        <f t="shared" si="30"/>
        <v>-65.625</v>
      </c>
      <c r="L376" s="25">
        <f t="shared" si="31"/>
        <v>-90.2</v>
      </c>
      <c r="M376" s="29">
        <v>2</v>
      </c>
      <c r="N376" s="76" t="str">
        <f t="shared" si="29"/>
        <v>TERMINO INDEFINIDO</v>
      </c>
      <c r="O376" s="32">
        <v>161</v>
      </c>
      <c r="P376" s="32">
        <v>5</v>
      </c>
      <c r="Q376" s="29" t="s">
        <v>30</v>
      </c>
      <c r="R376" s="29">
        <v>34</v>
      </c>
      <c r="S376" s="59">
        <v>5</v>
      </c>
      <c r="T376" s="32">
        <v>6</v>
      </c>
    </row>
    <row r="377" spans="1:20">
      <c r="A377" s="36" t="s">
        <v>36</v>
      </c>
      <c r="B377" s="34">
        <v>12745854</v>
      </c>
      <c r="C377" s="35" t="s">
        <v>732</v>
      </c>
      <c r="D377" s="35" t="s">
        <v>61</v>
      </c>
      <c r="E377" s="36" t="s">
        <v>726</v>
      </c>
      <c r="F377" s="36" t="s">
        <v>733</v>
      </c>
      <c r="G377" s="37">
        <v>3707009.4514301317</v>
      </c>
      <c r="H377" s="38">
        <v>41051</v>
      </c>
      <c r="I377" s="39"/>
      <c r="J377" s="38">
        <v>28924</v>
      </c>
      <c r="K377" s="36">
        <f t="shared" si="30"/>
        <v>-79.194444444444443</v>
      </c>
      <c r="L377" s="36">
        <f t="shared" si="31"/>
        <v>-112.39444444444445</v>
      </c>
      <c r="M377" s="40" t="s">
        <v>34</v>
      </c>
      <c r="N377" s="41" t="str">
        <f t="shared" si="29"/>
        <v>TERMINO INDEFINIDO NUEVO</v>
      </c>
      <c r="O377" s="42">
        <v>161</v>
      </c>
      <c r="P377" s="42">
        <v>4</v>
      </c>
      <c r="Q377" s="35" t="s">
        <v>30</v>
      </c>
      <c r="R377" s="35">
        <v>34</v>
      </c>
      <c r="S377" s="94">
        <v>5</v>
      </c>
      <c r="T377" s="42">
        <v>6</v>
      </c>
    </row>
    <row r="378" spans="1:20">
      <c r="A378" s="25" t="s">
        <v>36</v>
      </c>
      <c r="B378" s="25" t="s">
        <v>734</v>
      </c>
      <c r="C378" s="25" t="s">
        <v>735</v>
      </c>
      <c r="D378" s="25" t="s">
        <v>38</v>
      </c>
      <c r="E378" s="25" t="s">
        <v>726</v>
      </c>
      <c r="F378" s="25" t="s">
        <v>632</v>
      </c>
      <c r="G378" s="26">
        <v>3707009.4514301317</v>
      </c>
      <c r="H378" s="27">
        <v>36465</v>
      </c>
      <c r="I378" s="28"/>
      <c r="J378" s="27">
        <v>28030</v>
      </c>
      <c r="K378" s="25">
        <f t="shared" si="30"/>
        <v>-76.74166666666666</v>
      </c>
      <c r="L378" s="25">
        <f t="shared" si="31"/>
        <v>-99.836111111111109</v>
      </c>
      <c r="M378" s="29">
        <v>2</v>
      </c>
      <c r="N378" s="76" t="str">
        <f t="shared" si="29"/>
        <v>TERMINO INDEFINIDO</v>
      </c>
      <c r="O378" s="32">
        <v>161</v>
      </c>
      <c r="P378" s="32">
        <v>4</v>
      </c>
      <c r="Q378" s="29" t="s">
        <v>30</v>
      </c>
      <c r="R378" s="29">
        <v>34</v>
      </c>
      <c r="S378" s="59">
        <v>5</v>
      </c>
      <c r="T378" s="32">
        <v>6</v>
      </c>
    </row>
    <row r="379" spans="1:20">
      <c r="A379" s="36" t="s">
        <v>115</v>
      </c>
      <c r="B379" s="71">
        <v>87217728</v>
      </c>
      <c r="C379" s="111" t="s">
        <v>736</v>
      </c>
      <c r="D379" s="36" t="s">
        <v>122</v>
      </c>
      <c r="E379" s="44" t="s">
        <v>726</v>
      </c>
      <c r="F379" s="44"/>
      <c r="G379" s="37">
        <v>3283806.7690738421</v>
      </c>
      <c r="H379" s="38">
        <v>41684</v>
      </c>
      <c r="I379" s="39"/>
      <c r="J379" s="38">
        <v>27080</v>
      </c>
      <c r="K379" s="25">
        <f t="shared" si="30"/>
        <v>-74.138888888888886</v>
      </c>
      <c r="L379" s="25">
        <f t="shared" si="31"/>
        <v>-114.12222222222222</v>
      </c>
      <c r="M379" s="40" t="s">
        <v>34</v>
      </c>
      <c r="N379" s="41" t="str">
        <f t="shared" si="29"/>
        <v>TERMINO INDEFINIDO NUEVO</v>
      </c>
      <c r="O379" s="42">
        <v>161</v>
      </c>
      <c r="P379" s="42">
        <v>4</v>
      </c>
      <c r="Q379" s="35" t="s">
        <v>30</v>
      </c>
      <c r="R379" s="35">
        <v>34</v>
      </c>
      <c r="S379" s="94">
        <v>5</v>
      </c>
      <c r="T379" s="42">
        <v>6</v>
      </c>
    </row>
    <row r="380" spans="1:20">
      <c r="A380" s="36" t="s">
        <v>115</v>
      </c>
      <c r="B380" s="71">
        <v>36934788</v>
      </c>
      <c r="C380" s="36" t="s">
        <v>737</v>
      </c>
      <c r="D380" s="36" t="s">
        <v>117</v>
      </c>
      <c r="E380" s="36" t="s">
        <v>726</v>
      </c>
      <c r="F380" s="36" t="s">
        <v>738</v>
      </c>
      <c r="G380" s="37">
        <v>3283806.7690738421</v>
      </c>
      <c r="H380" s="38">
        <v>39479</v>
      </c>
      <c r="I380" s="39"/>
      <c r="J380" s="38">
        <v>28803</v>
      </c>
      <c r="K380" s="36">
        <f t="shared" si="30"/>
        <v>-78.858333333333334</v>
      </c>
      <c r="L380" s="36">
        <f t="shared" si="31"/>
        <v>-108.08611111111111</v>
      </c>
      <c r="M380" s="40" t="s">
        <v>34</v>
      </c>
      <c r="N380" s="41" t="str">
        <f t="shared" si="29"/>
        <v>TERMINO INDEFINIDO NUEVO</v>
      </c>
      <c r="O380" s="42">
        <v>162</v>
      </c>
      <c r="P380" s="42">
        <v>4</v>
      </c>
      <c r="Q380" s="35" t="s">
        <v>35</v>
      </c>
      <c r="R380" s="35">
        <v>34</v>
      </c>
      <c r="S380" s="94">
        <v>5</v>
      </c>
      <c r="T380" s="42">
        <v>7</v>
      </c>
    </row>
    <row r="381" spans="1:20">
      <c r="A381" s="62" t="s">
        <v>124</v>
      </c>
      <c r="B381" s="61">
        <v>13066877</v>
      </c>
      <c r="C381" s="62" t="s">
        <v>739</v>
      </c>
      <c r="D381" s="62" t="s">
        <v>126</v>
      </c>
      <c r="E381" s="44" t="s">
        <v>726</v>
      </c>
      <c r="F381" s="44"/>
      <c r="G381" s="63">
        <v>2802739.1336794067</v>
      </c>
      <c r="H381" s="64">
        <v>43487</v>
      </c>
      <c r="I381" s="65"/>
      <c r="J381" s="64">
        <v>26715</v>
      </c>
      <c r="K381" s="25">
        <f t="shared" si="30"/>
        <v>-73.138888888888886</v>
      </c>
      <c r="L381" s="25">
        <f t="shared" si="31"/>
        <v>-119.06111111111112</v>
      </c>
      <c r="M381" s="66" t="s">
        <v>34</v>
      </c>
      <c r="N381" s="67" t="str">
        <f t="shared" si="29"/>
        <v>TERMINO INDEFINIDO NUEVO</v>
      </c>
      <c r="O381" s="68">
        <v>161</v>
      </c>
      <c r="P381" s="68">
        <v>4</v>
      </c>
      <c r="Q381" s="69" t="s">
        <v>30</v>
      </c>
      <c r="R381" s="69">
        <v>34</v>
      </c>
      <c r="S381" s="70">
        <v>5</v>
      </c>
      <c r="T381" s="68">
        <v>6</v>
      </c>
    </row>
    <row r="382" spans="1:20">
      <c r="A382" s="25" t="s">
        <v>331</v>
      </c>
      <c r="B382" s="71">
        <v>13066426</v>
      </c>
      <c r="C382" s="36" t="s">
        <v>740</v>
      </c>
      <c r="D382" s="36" t="s">
        <v>353</v>
      </c>
      <c r="E382" s="44" t="s">
        <v>726</v>
      </c>
      <c r="F382" s="44"/>
      <c r="G382" s="37">
        <v>3120218.4740244588</v>
      </c>
      <c r="H382" s="38">
        <v>38353</v>
      </c>
      <c r="I382" s="39"/>
      <c r="J382" s="38">
        <v>26891</v>
      </c>
      <c r="K382" s="25">
        <f t="shared" si="30"/>
        <v>-73.625</v>
      </c>
      <c r="L382" s="25">
        <f t="shared" si="31"/>
        <v>-105.00277777777778</v>
      </c>
      <c r="M382" s="40" t="s">
        <v>34</v>
      </c>
      <c r="N382" s="34" t="str">
        <f t="shared" si="29"/>
        <v>TERMINO INDEFINIDO NUEVO</v>
      </c>
      <c r="O382" s="35">
        <v>167</v>
      </c>
      <c r="P382" s="35">
        <v>5</v>
      </c>
      <c r="Q382" s="35" t="s">
        <v>30</v>
      </c>
      <c r="R382" s="35">
        <v>10</v>
      </c>
      <c r="S382" s="94">
        <v>3</v>
      </c>
      <c r="T382" s="42">
        <v>5</v>
      </c>
    </row>
    <row r="383" spans="1:20">
      <c r="A383" s="25" t="s">
        <v>331</v>
      </c>
      <c r="B383" s="54" t="s">
        <v>741</v>
      </c>
      <c r="C383" s="25" t="s">
        <v>742</v>
      </c>
      <c r="D383" s="25" t="s">
        <v>353</v>
      </c>
      <c r="E383" s="44" t="s">
        <v>726</v>
      </c>
      <c r="F383" s="44"/>
      <c r="G383" s="26">
        <v>3120218.4554910217</v>
      </c>
      <c r="H383" s="27">
        <v>36807</v>
      </c>
      <c r="I383" s="39"/>
      <c r="J383" s="27">
        <v>24745</v>
      </c>
      <c r="K383" s="25">
        <f t="shared" si="30"/>
        <v>-67.75</v>
      </c>
      <c r="L383" s="25">
        <f t="shared" si="31"/>
        <v>-100.77222222222223</v>
      </c>
      <c r="M383" s="29">
        <v>2</v>
      </c>
      <c r="N383" s="76" t="str">
        <f t="shared" si="29"/>
        <v>TERMINO INDEFINIDO</v>
      </c>
      <c r="O383" s="32">
        <v>163</v>
      </c>
      <c r="P383" s="32">
        <v>3</v>
      </c>
      <c r="Q383" s="29" t="s">
        <v>30</v>
      </c>
      <c r="R383" s="29">
        <v>10</v>
      </c>
      <c r="S383" s="59">
        <v>3</v>
      </c>
      <c r="T383" s="32">
        <v>5</v>
      </c>
    </row>
    <row r="384" spans="1:20">
      <c r="A384" s="44" t="s">
        <v>331</v>
      </c>
      <c r="B384" s="45">
        <v>13067548</v>
      </c>
      <c r="C384" s="44" t="s">
        <v>743</v>
      </c>
      <c r="D384" s="44" t="s">
        <v>353</v>
      </c>
      <c r="E384" s="44" t="s">
        <v>726</v>
      </c>
      <c r="F384" s="44"/>
      <c r="G384" s="46">
        <v>3120218.4554910217</v>
      </c>
      <c r="H384" s="47">
        <v>44470</v>
      </c>
      <c r="I384" s="48"/>
      <c r="J384" s="47">
        <v>27783</v>
      </c>
      <c r="K384" s="44">
        <f t="shared" si="30"/>
        <v>-76.066666666666663</v>
      </c>
      <c r="L384" s="44">
        <f t="shared" si="31"/>
        <v>-121.75277777777778</v>
      </c>
      <c r="M384" s="49" t="s">
        <v>34</v>
      </c>
      <c r="N384" s="106" t="str">
        <f t="shared" si="29"/>
        <v>TERMINO INDEFINIDO NUEVO</v>
      </c>
      <c r="O384" s="53">
        <v>163</v>
      </c>
      <c r="P384" s="53">
        <v>3</v>
      </c>
      <c r="Q384" s="51" t="s">
        <v>30</v>
      </c>
      <c r="R384" s="51">
        <v>10</v>
      </c>
      <c r="S384" s="97">
        <v>3</v>
      </c>
      <c r="T384" s="53">
        <v>5</v>
      </c>
    </row>
    <row r="385" spans="1:20">
      <c r="A385" s="36" t="s">
        <v>286</v>
      </c>
      <c r="B385" s="71">
        <v>98138553</v>
      </c>
      <c r="C385" s="36" t="s">
        <v>744</v>
      </c>
      <c r="D385" s="173" t="s">
        <v>288</v>
      </c>
      <c r="E385" s="44" t="s">
        <v>726</v>
      </c>
      <c r="F385" s="44"/>
      <c r="G385" s="37">
        <v>2786824.7655346259</v>
      </c>
      <c r="H385" s="38">
        <v>41828</v>
      </c>
      <c r="I385" s="39"/>
      <c r="J385" s="38">
        <v>30805</v>
      </c>
      <c r="K385" s="25">
        <f t="shared" si="30"/>
        <v>-84.341666666666669</v>
      </c>
      <c r="L385" s="25">
        <f t="shared" si="31"/>
        <v>-114.52222222222223</v>
      </c>
      <c r="M385" s="40" t="s">
        <v>34</v>
      </c>
      <c r="N385" s="41" t="str">
        <f t="shared" si="29"/>
        <v>TERMINO INDEFINIDO NUEVO</v>
      </c>
      <c r="O385" s="42">
        <v>163</v>
      </c>
      <c r="P385" s="42">
        <v>3</v>
      </c>
      <c r="Q385" s="35" t="s">
        <v>30</v>
      </c>
      <c r="R385" s="35">
        <v>10</v>
      </c>
      <c r="S385" s="94">
        <v>3</v>
      </c>
      <c r="T385" s="42">
        <v>5</v>
      </c>
    </row>
    <row r="386" spans="1:20">
      <c r="A386" s="114" t="s">
        <v>56</v>
      </c>
      <c r="B386" s="71">
        <v>98136053</v>
      </c>
      <c r="C386" s="36" t="s">
        <v>745</v>
      </c>
      <c r="D386" s="36" t="s">
        <v>275</v>
      </c>
      <c r="E386" s="44" t="s">
        <v>726</v>
      </c>
      <c r="F386" s="44"/>
      <c r="G386" s="37">
        <v>3231586.9520465797</v>
      </c>
      <c r="H386" s="38">
        <v>40407</v>
      </c>
      <c r="I386" s="39"/>
      <c r="J386" s="38">
        <v>29034</v>
      </c>
      <c r="K386" s="25">
        <f t="shared" si="30"/>
        <v>-79.49444444444444</v>
      </c>
      <c r="L386" s="25">
        <f t="shared" si="31"/>
        <v>-110.63055555555556</v>
      </c>
      <c r="M386" s="40" t="s">
        <v>34</v>
      </c>
      <c r="N386" s="41" t="str">
        <f t="shared" si="29"/>
        <v>TERMINO INDEFINIDO NUEVO</v>
      </c>
      <c r="O386" s="42">
        <v>162</v>
      </c>
      <c r="P386" s="42">
        <v>5</v>
      </c>
      <c r="Q386" s="35" t="s">
        <v>30</v>
      </c>
      <c r="R386" s="35">
        <v>10</v>
      </c>
      <c r="S386" s="94">
        <v>3</v>
      </c>
      <c r="T386" s="42">
        <v>5</v>
      </c>
    </row>
    <row r="387" spans="1:20">
      <c r="A387" s="72" t="s">
        <v>56</v>
      </c>
      <c r="B387" s="54">
        <v>1087422982</v>
      </c>
      <c r="C387" s="25" t="s">
        <v>746</v>
      </c>
      <c r="D387" s="25" t="s">
        <v>58</v>
      </c>
      <c r="E387" s="25" t="s">
        <v>726</v>
      </c>
      <c r="F387" s="25" t="s">
        <v>747</v>
      </c>
      <c r="G387" s="26">
        <v>3231586.9520465797</v>
      </c>
      <c r="H387" s="27">
        <v>45586</v>
      </c>
      <c r="I387" s="28">
        <v>46387</v>
      </c>
      <c r="J387" s="27">
        <v>35216</v>
      </c>
      <c r="K387" s="25">
        <f t="shared" si="30"/>
        <v>-96.416666666666671</v>
      </c>
      <c r="L387" s="25">
        <f t="shared" si="31"/>
        <v>-124.80833333333334</v>
      </c>
      <c r="M387" s="73">
        <v>1</v>
      </c>
      <c r="N387" s="30" t="str">
        <f t="shared" si="29"/>
        <v>TERMINO FIJO</v>
      </c>
      <c r="O387" s="29">
        <v>162</v>
      </c>
      <c r="P387" s="29">
        <v>5</v>
      </c>
      <c r="Q387" s="29" t="s">
        <v>30</v>
      </c>
      <c r="R387" s="29">
        <v>10</v>
      </c>
      <c r="S387" s="59">
        <v>2</v>
      </c>
      <c r="T387" s="32">
        <v>5</v>
      </c>
    </row>
    <row r="388" spans="1:20">
      <c r="A388" s="118" t="s">
        <v>56</v>
      </c>
      <c r="B388" s="61">
        <v>1087413162</v>
      </c>
      <c r="C388" s="62" t="s">
        <v>748</v>
      </c>
      <c r="D388" s="62" t="s">
        <v>275</v>
      </c>
      <c r="E388" s="44" t="s">
        <v>726</v>
      </c>
      <c r="F388" s="44"/>
      <c r="G388" s="63">
        <v>3231586.9520465797</v>
      </c>
      <c r="H388" s="64">
        <v>43832</v>
      </c>
      <c r="I388" s="65"/>
      <c r="J388" s="64">
        <v>32433</v>
      </c>
      <c r="K388" s="25">
        <f t="shared" si="30"/>
        <v>-88.797222222222217</v>
      </c>
      <c r="L388" s="25">
        <f t="shared" si="31"/>
        <v>-120.00555555555556</v>
      </c>
      <c r="M388" s="66" t="s">
        <v>34</v>
      </c>
      <c r="N388" s="67" t="str">
        <f t="shared" si="29"/>
        <v>TERMINO INDEFINIDO NUEVO</v>
      </c>
      <c r="O388" s="68">
        <v>162</v>
      </c>
      <c r="P388" s="68">
        <v>5</v>
      </c>
      <c r="Q388" s="69" t="s">
        <v>30</v>
      </c>
      <c r="R388" s="69">
        <v>10</v>
      </c>
      <c r="S388" s="70">
        <v>2</v>
      </c>
      <c r="T388" s="68">
        <v>5</v>
      </c>
    </row>
    <row r="389" spans="1:20">
      <c r="A389" s="114" t="s">
        <v>56</v>
      </c>
      <c r="B389" s="71">
        <v>13067882</v>
      </c>
      <c r="C389" s="36" t="s">
        <v>749</v>
      </c>
      <c r="D389" s="36" t="s">
        <v>275</v>
      </c>
      <c r="E389" s="36" t="s">
        <v>726</v>
      </c>
      <c r="F389" s="36"/>
      <c r="G389" s="37">
        <v>3231586.9520465797</v>
      </c>
      <c r="H389" s="38">
        <v>40981</v>
      </c>
      <c r="I389" s="39"/>
      <c r="J389" s="38">
        <v>27924</v>
      </c>
      <c r="K389" s="36">
        <f t="shared" si="30"/>
        <v>-76.452777777777783</v>
      </c>
      <c r="L389" s="36">
        <f t="shared" si="31"/>
        <v>-112.20277777777778</v>
      </c>
      <c r="M389" s="40" t="s">
        <v>34</v>
      </c>
      <c r="N389" s="41" t="str">
        <f t="shared" si="29"/>
        <v>TERMINO INDEFINIDO NUEVO</v>
      </c>
      <c r="O389" s="42">
        <v>162</v>
      </c>
      <c r="P389" s="42">
        <v>5</v>
      </c>
      <c r="Q389" s="35" t="s">
        <v>30</v>
      </c>
      <c r="R389" s="35">
        <v>10</v>
      </c>
      <c r="S389" s="94">
        <v>3</v>
      </c>
      <c r="T389" s="42">
        <v>5</v>
      </c>
    </row>
    <row r="390" spans="1:20">
      <c r="A390" s="36" t="s">
        <v>750</v>
      </c>
      <c r="B390" s="92">
        <v>1086498607</v>
      </c>
      <c r="C390" s="36" t="s">
        <v>751</v>
      </c>
      <c r="D390" s="36" t="s">
        <v>752</v>
      </c>
      <c r="E390" s="36" t="s">
        <v>726</v>
      </c>
      <c r="F390" s="36"/>
      <c r="G390" s="37">
        <v>3070816.4171199645</v>
      </c>
      <c r="H390" s="38">
        <v>42377</v>
      </c>
      <c r="I390" s="39"/>
      <c r="J390" s="38">
        <v>32346</v>
      </c>
      <c r="K390" s="36">
        <f t="shared" si="30"/>
        <v>-88.561111111111117</v>
      </c>
      <c r="L390" s="36">
        <f t="shared" si="31"/>
        <v>-116.02222222222223</v>
      </c>
      <c r="M390" s="40" t="s">
        <v>34</v>
      </c>
      <c r="N390" s="41" t="str">
        <f t="shared" si="29"/>
        <v>TERMINO INDEFINIDO NUEVO</v>
      </c>
      <c r="O390" s="42">
        <v>164</v>
      </c>
      <c r="P390" s="42">
        <v>1</v>
      </c>
      <c r="Q390" s="35" t="s">
        <v>30</v>
      </c>
      <c r="R390" s="35">
        <v>10</v>
      </c>
      <c r="S390" s="94">
        <v>3</v>
      </c>
      <c r="T390" s="42">
        <v>7</v>
      </c>
    </row>
    <row r="391" spans="1:20">
      <c r="A391" s="25" t="s">
        <v>750</v>
      </c>
      <c r="B391" s="54">
        <v>5306082</v>
      </c>
      <c r="C391" s="25" t="s">
        <v>753</v>
      </c>
      <c r="D391" s="25" t="s">
        <v>752</v>
      </c>
      <c r="E391" s="25" t="s">
        <v>726</v>
      </c>
      <c r="F391" s="25"/>
      <c r="G391" s="26">
        <v>3070816.4171199645</v>
      </c>
      <c r="H391" s="27">
        <v>34731</v>
      </c>
      <c r="I391" s="28"/>
      <c r="J391" s="27">
        <v>23397</v>
      </c>
      <c r="K391" s="25">
        <f t="shared" si="30"/>
        <v>-64.058333333333337</v>
      </c>
      <c r="L391" s="25">
        <f t="shared" si="31"/>
        <v>-95.086111111111109</v>
      </c>
      <c r="M391" s="29">
        <v>2</v>
      </c>
      <c r="N391" s="76" t="str">
        <f t="shared" si="29"/>
        <v>TERMINO INDEFINIDO</v>
      </c>
      <c r="O391" s="32">
        <v>164</v>
      </c>
      <c r="P391" s="32">
        <v>1</v>
      </c>
      <c r="Q391" s="29" t="s">
        <v>30</v>
      </c>
      <c r="R391" s="29">
        <v>10</v>
      </c>
      <c r="S391" s="59">
        <v>3</v>
      </c>
      <c r="T391" s="32">
        <v>7</v>
      </c>
    </row>
    <row r="392" spans="1:20">
      <c r="A392" s="36" t="s">
        <v>750</v>
      </c>
      <c r="B392" s="71">
        <v>1087411211</v>
      </c>
      <c r="C392" s="36" t="s">
        <v>754</v>
      </c>
      <c r="D392" s="36" t="s">
        <v>752</v>
      </c>
      <c r="E392" s="36" t="s">
        <v>726</v>
      </c>
      <c r="F392" s="36"/>
      <c r="G392" s="37">
        <v>3070816.4171199645</v>
      </c>
      <c r="H392" s="38">
        <v>42251</v>
      </c>
      <c r="I392" s="39"/>
      <c r="J392" s="38">
        <v>32077</v>
      </c>
      <c r="K392" s="36">
        <f t="shared" si="30"/>
        <v>-87.825000000000003</v>
      </c>
      <c r="L392" s="36">
        <f t="shared" si="31"/>
        <v>-115.67777777777778</v>
      </c>
      <c r="M392" s="40" t="s">
        <v>34</v>
      </c>
      <c r="N392" s="41" t="str">
        <f t="shared" ref="N392:N456" si="32">IF(M392=3,"SALARIO INTEGRAL",IF(M392=2,"TERMINO INDEFINIDO",IF(M392=1,"TERMINO FIJO",IF(M392="2_N","TERMINO INDEFINIDO NUEVO","OTRO"))))</f>
        <v>TERMINO INDEFINIDO NUEVO</v>
      </c>
      <c r="O392" s="42">
        <v>164</v>
      </c>
      <c r="P392" s="42">
        <v>1</v>
      </c>
      <c r="Q392" s="35" t="s">
        <v>30</v>
      </c>
      <c r="R392" s="35">
        <v>10</v>
      </c>
      <c r="S392" s="94"/>
      <c r="T392" s="42">
        <v>7</v>
      </c>
    </row>
    <row r="393" spans="1:20">
      <c r="A393" s="25" t="s">
        <v>750</v>
      </c>
      <c r="B393" s="54">
        <v>1087412775</v>
      </c>
      <c r="C393" s="25" t="s">
        <v>755</v>
      </c>
      <c r="D393" s="25" t="s">
        <v>752</v>
      </c>
      <c r="E393" s="25" t="s">
        <v>726</v>
      </c>
      <c r="F393" s="25"/>
      <c r="G393" s="26">
        <v>3070816.77</v>
      </c>
      <c r="H393" s="27">
        <v>45181</v>
      </c>
      <c r="I393" s="28">
        <v>46387</v>
      </c>
      <c r="J393" s="27">
        <v>26978</v>
      </c>
      <c r="K393" s="25">
        <f>(DAYS360(J393,$K$1))/360</f>
        <v>-73.861111111111114</v>
      </c>
      <c r="L393" s="25">
        <f>(DAYS360(H393,$K$1))/360</f>
        <v>-123.7</v>
      </c>
      <c r="M393" s="29">
        <v>1</v>
      </c>
      <c r="N393" s="76" t="str">
        <f t="shared" si="32"/>
        <v>TERMINO FIJO</v>
      </c>
      <c r="O393" s="32">
        <v>163</v>
      </c>
      <c r="P393" s="32">
        <v>3</v>
      </c>
      <c r="Q393" s="29" t="s">
        <v>30</v>
      </c>
      <c r="R393" s="29">
        <v>10</v>
      </c>
      <c r="S393" s="59">
        <v>3</v>
      </c>
      <c r="T393" s="32">
        <v>5</v>
      </c>
    </row>
    <row r="394" spans="1:20">
      <c r="A394" s="62" t="s">
        <v>511</v>
      </c>
      <c r="B394" s="61">
        <v>1087411307</v>
      </c>
      <c r="C394" s="62" t="s">
        <v>756</v>
      </c>
      <c r="D394" s="174" t="s">
        <v>514</v>
      </c>
      <c r="E394" s="44" t="s">
        <v>757</v>
      </c>
      <c r="F394" s="44"/>
      <c r="G394" s="63">
        <v>2802739.0810854579</v>
      </c>
      <c r="H394" s="64">
        <v>44085</v>
      </c>
      <c r="I394" s="65"/>
      <c r="J394" s="64">
        <v>31589</v>
      </c>
      <c r="K394" s="62">
        <f t="shared" si="30"/>
        <v>-86.488888888888894</v>
      </c>
      <c r="L394" s="62">
        <f t="shared" si="31"/>
        <v>-120.69722222222222</v>
      </c>
      <c r="M394" s="66" t="s">
        <v>34</v>
      </c>
      <c r="N394" s="67" t="str">
        <f t="shared" si="32"/>
        <v>TERMINO INDEFINIDO NUEVO</v>
      </c>
      <c r="O394" s="68">
        <v>167</v>
      </c>
      <c r="P394" s="68">
        <v>5</v>
      </c>
      <c r="Q394" s="69" t="s">
        <v>30</v>
      </c>
      <c r="R394" s="69">
        <v>10</v>
      </c>
      <c r="S394" s="70">
        <v>3</v>
      </c>
      <c r="T394" s="68">
        <v>5</v>
      </c>
    </row>
    <row r="395" spans="1:20">
      <c r="A395" s="36" t="s">
        <v>511</v>
      </c>
      <c r="B395" s="71">
        <v>13064153</v>
      </c>
      <c r="C395" s="36" t="s">
        <v>758</v>
      </c>
      <c r="D395" s="173" t="s">
        <v>650</v>
      </c>
      <c r="E395" s="36" t="s">
        <v>759</v>
      </c>
      <c r="F395" s="36"/>
      <c r="G395" s="37">
        <v>2802739.1336794067</v>
      </c>
      <c r="H395" s="38">
        <v>38261</v>
      </c>
      <c r="I395" s="39"/>
      <c r="J395" s="38">
        <v>25167</v>
      </c>
      <c r="K395" s="36">
        <f t="shared" si="30"/>
        <v>-68.902777777777771</v>
      </c>
      <c r="L395" s="36">
        <f t="shared" si="31"/>
        <v>-104.75277777777778</v>
      </c>
      <c r="M395" s="40" t="s">
        <v>34</v>
      </c>
      <c r="N395" s="41" t="str">
        <f t="shared" si="32"/>
        <v>TERMINO INDEFINIDO NUEVO</v>
      </c>
      <c r="O395" s="42">
        <v>167</v>
      </c>
      <c r="P395" s="42">
        <v>5</v>
      </c>
      <c r="Q395" s="35" t="s">
        <v>30</v>
      </c>
      <c r="R395" s="35">
        <v>10</v>
      </c>
      <c r="S395" s="94">
        <v>3</v>
      </c>
      <c r="T395" s="42">
        <v>5</v>
      </c>
    </row>
    <row r="396" spans="1:20">
      <c r="A396" s="62" t="s">
        <v>511</v>
      </c>
      <c r="B396" s="61">
        <v>87550684</v>
      </c>
      <c r="C396" s="62" t="s">
        <v>760</v>
      </c>
      <c r="D396" s="62" t="s">
        <v>650</v>
      </c>
      <c r="E396" s="62" t="s">
        <v>761</v>
      </c>
      <c r="F396" s="62" t="s">
        <v>44</v>
      </c>
      <c r="G396" s="63">
        <v>2527665.9412533497</v>
      </c>
      <c r="H396" s="64">
        <v>43498</v>
      </c>
      <c r="I396" s="65"/>
      <c r="J396" s="64">
        <v>26091</v>
      </c>
      <c r="K396" s="62">
        <f>(DAYS360(J396,$K$1))/360</f>
        <v>-71.436111111111117</v>
      </c>
      <c r="L396" s="62">
        <f>(DAYS360(H396,$K$1))/360</f>
        <v>-119.08888888888889</v>
      </c>
      <c r="M396" s="66" t="s">
        <v>34</v>
      </c>
      <c r="N396" s="67" t="str">
        <f t="shared" si="32"/>
        <v>TERMINO INDEFINIDO NUEVO</v>
      </c>
      <c r="O396" s="68">
        <v>167</v>
      </c>
      <c r="P396" s="68">
        <v>5</v>
      </c>
      <c r="Q396" s="69" t="s">
        <v>30</v>
      </c>
      <c r="R396" s="69">
        <v>10</v>
      </c>
      <c r="S396" s="70">
        <v>3</v>
      </c>
      <c r="T396" s="68">
        <v>5</v>
      </c>
    </row>
    <row r="397" spans="1:20">
      <c r="A397" s="36" t="s">
        <v>511</v>
      </c>
      <c r="B397" s="71">
        <v>12991420</v>
      </c>
      <c r="C397" s="36" t="s">
        <v>762</v>
      </c>
      <c r="D397" s="36" t="s">
        <v>650</v>
      </c>
      <c r="E397" s="36" t="s">
        <v>763</v>
      </c>
      <c r="F397" s="36"/>
      <c r="G397" s="37">
        <v>2802739.1336794067</v>
      </c>
      <c r="H397" s="38">
        <v>39559</v>
      </c>
      <c r="I397" s="39"/>
      <c r="J397" s="38">
        <v>24687</v>
      </c>
      <c r="K397" s="36">
        <f t="shared" si="30"/>
        <v>-67.591666666666669</v>
      </c>
      <c r="L397" s="36">
        <f t="shared" si="31"/>
        <v>-108.30833333333334</v>
      </c>
      <c r="M397" s="40" t="s">
        <v>34</v>
      </c>
      <c r="N397" s="34" t="str">
        <f t="shared" si="32"/>
        <v>TERMINO INDEFINIDO NUEVO</v>
      </c>
      <c r="O397" s="35">
        <v>167</v>
      </c>
      <c r="P397" s="35">
        <v>5</v>
      </c>
      <c r="Q397" s="35" t="s">
        <v>30</v>
      </c>
      <c r="R397" s="35">
        <v>10</v>
      </c>
      <c r="S397" s="94">
        <v>3</v>
      </c>
      <c r="T397" s="42">
        <v>5</v>
      </c>
    </row>
    <row r="398" spans="1:20">
      <c r="A398" s="36" t="s">
        <v>511</v>
      </c>
      <c r="B398" s="71">
        <v>13063520</v>
      </c>
      <c r="C398" s="36" t="s">
        <v>764</v>
      </c>
      <c r="D398" s="36" t="s">
        <v>650</v>
      </c>
      <c r="E398" s="36" t="s">
        <v>765</v>
      </c>
      <c r="F398" s="36"/>
      <c r="G398" s="37">
        <v>2802739.1336794067</v>
      </c>
      <c r="H398" s="38">
        <v>38519</v>
      </c>
      <c r="I398" s="39"/>
      <c r="J398" s="38">
        <v>24016</v>
      </c>
      <c r="K398" s="36">
        <f t="shared" si="30"/>
        <v>-65.75277777777778</v>
      </c>
      <c r="L398" s="36">
        <f t="shared" si="31"/>
        <v>-105.46111111111111</v>
      </c>
      <c r="M398" s="40" t="s">
        <v>34</v>
      </c>
      <c r="N398" s="34" t="str">
        <f t="shared" si="32"/>
        <v>TERMINO INDEFINIDO NUEVO</v>
      </c>
      <c r="O398" s="35">
        <v>167</v>
      </c>
      <c r="P398" s="35">
        <v>5</v>
      </c>
      <c r="Q398" s="35" t="s">
        <v>30</v>
      </c>
      <c r="R398" s="35">
        <v>10</v>
      </c>
      <c r="S398" s="94">
        <v>3</v>
      </c>
      <c r="T398" s="42">
        <v>5</v>
      </c>
    </row>
    <row r="399" spans="1:20">
      <c r="A399" s="36" t="s">
        <v>511</v>
      </c>
      <c r="B399" s="71">
        <v>87531784</v>
      </c>
      <c r="C399" s="36" t="s">
        <v>766</v>
      </c>
      <c r="D399" s="36" t="s">
        <v>650</v>
      </c>
      <c r="E399" s="36" t="s">
        <v>767</v>
      </c>
      <c r="F399" s="36"/>
      <c r="G399" s="37">
        <v>2802739.1336794067</v>
      </c>
      <c r="H399" s="38">
        <v>38215</v>
      </c>
      <c r="I399" s="39"/>
      <c r="J399" s="38">
        <v>27246</v>
      </c>
      <c r="K399" s="36">
        <f t="shared" si="30"/>
        <v>-74.597222222222229</v>
      </c>
      <c r="L399" s="36">
        <f t="shared" si="31"/>
        <v>-104.62777777777778</v>
      </c>
      <c r="M399" s="40" t="s">
        <v>34</v>
      </c>
      <c r="N399" s="41" t="str">
        <f t="shared" si="32"/>
        <v>TERMINO INDEFINIDO NUEVO</v>
      </c>
      <c r="O399" s="42">
        <v>167</v>
      </c>
      <c r="P399" s="42">
        <v>5</v>
      </c>
      <c r="Q399" s="35" t="s">
        <v>30</v>
      </c>
      <c r="R399" s="35">
        <v>10</v>
      </c>
      <c r="S399" s="94">
        <v>3</v>
      </c>
      <c r="T399" s="42">
        <v>5</v>
      </c>
    </row>
    <row r="400" spans="1:20">
      <c r="A400" s="36" t="s">
        <v>511</v>
      </c>
      <c r="B400" s="71">
        <v>98136938</v>
      </c>
      <c r="C400" s="36" t="s">
        <v>768</v>
      </c>
      <c r="D400" s="36" t="s">
        <v>650</v>
      </c>
      <c r="E400" s="36" t="s">
        <v>769</v>
      </c>
      <c r="F400" s="36"/>
      <c r="G400" s="37">
        <v>2802739.1336794067</v>
      </c>
      <c r="H400" s="38">
        <v>41250</v>
      </c>
      <c r="I400" s="39"/>
      <c r="J400" s="38">
        <v>29661</v>
      </c>
      <c r="K400" s="36">
        <f t="shared" si="30"/>
        <v>-81.211111111111109</v>
      </c>
      <c r="L400" s="36">
        <f t="shared" si="31"/>
        <v>-112.93611111111112</v>
      </c>
      <c r="M400" s="40" t="s">
        <v>34</v>
      </c>
      <c r="N400" s="41" t="str">
        <f t="shared" si="32"/>
        <v>TERMINO INDEFINIDO NUEVO</v>
      </c>
      <c r="O400" s="42">
        <v>167</v>
      </c>
      <c r="P400" s="42">
        <v>5</v>
      </c>
      <c r="Q400" s="35" t="s">
        <v>30</v>
      </c>
      <c r="R400" s="35">
        <v>10</v>
      </c>
      <c r="S400" s="94">
        <v>3</v>
      </c>
      <c r="T400" s="42">
        <v>5</v>
      </c>
    </row>
    <row r="401" spans="1:20">
      <c r="A401" s="36" t="s">
        <v>511</v>
      </c>
      <c r="B401" s="71">
        <v>1086498387</v>
      </c>
      <c r="C401" s="36" t="s">
        <v>770</v>
      </c>
      <c r="D401" s="36" t="s">
        <v>650</v>
      </c>
      <c r="E401" s="36" t="s">
        <v>763</v>
      </c>
      <c r="F401" s="36"/>
      <c r="G401" s="37">
        <v>2802739.1336794067</v>
      </c>
      <c r="H401" s="38">
        <v>41831</v>
      </c>
      <c r="I401" s="39"/>
      <c r="J401" s="38">
        <v>31864</v>
      </c>
      <c r="K401" s="36">
        <f t="shared" si="30"/>
        <v>-87.24444444444444</v>
      </c>
      <c r="L401" s="36">
        <f t="shared" si="31"/>
        <v>-114.53055555555555</v>
      </c>
      <c r="M401" s="40" t="s">
        <v>34</v>
      </c>
      <c r="N401" s="41" t="str">
        <f t="shared" si="32"/>
        <v>TERMINO INDEFINIDO NUEVO</v>
      </c>
      <c r="O401" s="42">
        <v>167</v>
      </c>
      <c r="P401" s="42">
        <v>5</v>
      </c>
      <c r="Q401" s="35" t="s">
        <v>30</v>
      </c>
      <c r="R401" s="35">
        <v>10</v>
      </c>
      <c r="S401" s="94">
        <v>3</v>
      </c>
      <c r="T401" s="42">
        <v>5</v>
      </c>
    </row>
    <row r="402" spans="1:20">
      <c r="A402" s="36" t="s">
        <v>511</v>
      </c>
      <c r="B402" s="71">
        <v>98137577</v>
      </c>
      <c r="C402" s="108" t="s">
        <v>771</v>
      </c>
      <c r="D402" s="36" t="s">
        <v>650</v>
      </c>
      <c r="E402" s="36" t="s">
        <v>772</v>
      </c>
      <c r="F402" s="36"/>
      <c r="G402" s="37">
        <v>2802739.1336794067</v>
      </c>
      <c r="H402" s="38">
        <v>40148</v>
      </c>
      <c r="I402" s="39"/>
      <c r="J402" s="38">
        <v>29803</v>
      </c>
      <c r="K402" s="36">
        <f t="shared" si="30"/>
        <v>-81.597222222222229</v>
      </c>
      <c r="L402" s="36">
        <f t="shared" si="31"/>
        <v>-109.91944444444445</v>
      </c>
      <c r="M402" s="40" t="s">
        <v>34</v>
      </c>
      <c r="N402" s="41" t="str">
        <f t="shared" si="32"/>
        <v>TERMINO INDEFINIDO NUEVO</v>
      </c>
      <c r="O402" s="42">
        <v>167</v>
      </c>
      <c r="P402" s="42">
        <v>5</v>
      </c>
      <c r="Q402" s="35" t="s">
        <v>30</v>
      </c>
      <c r="R402" s="35">
        <v>10</v>
      </c>
      <c r="S402" s="94">
        <v>3</v>
      </c>
      <c r="T402" s="42">
        <v>5</v>
      </c>
    </row>
    <row r="403" spans="1:20">
      <c r="A403" s="62" t="s">
        <v>511</v>
      </c>
      <c r="B403" s="175">
        <v>1089846124</v>
      </c>
      <c r="C403" s="69" t="s">
        <v>773</v>
      </c>
      <c r="D403" s="62" t="s">
        <v>650</v>
      </c>
      <c r="E403" s="62" t="s">
        <v>767</v>
      </c>
      <c r="F403" s="62"/>
      <c r="G403" s="63">
        <v>2802739.1336794067</v>
      </c>
      <c r="H403" s="64">
        <v>43143</v>
      </c>
      <c r="I403" s="65"/>
      <c r="J403" s="64">
        <v>33472</v>
      </c>
      <c r="K403" s="62">
        <f t="shared" si="30"/>
        <v>-91.644444444444446</v>
      </c>
      <c r="L403" s="62">
        <f t="shared" si="31"/>
        <v>-118.11666666666666</v>
      </c>
      <c r="M403" s="66" t="s">
        <v>34</v>
      </c>
      <c r="N403" s="67" t="str">
        <f t="shared" si="32"/>
        <v>TERMINO INDEFINIDO NUEVO</v>
      </c>
      <c r="O403" s="68">
        <v>167</v>
      </c>
      <c r="P403" s="68">
        <v>5</v>
      </c>
      <c r="Q403" s="69" t="s">
        <v>30</v>
      </c>
      <c r="R403" s="69">
        <v>10</v>
      </c>
      <c r="S403" s="70">
        <v>3</v>
      </c>
      <c r="T403" s="68">
        <v>5</v>
      </c>
    </row>
    <row r="404" spans="1:20">
      <c r="A404" s="25" t="s">
        <v>511</v>
      </c>
      <c r="B404" s="54">
        <v>1087412329</v>
      </c>
      <c r="C404" s="25" t="s">
        <v>774</v>
      </c>
      <c r="D404" s="25" t="s">
        <v>650</v>
      </c>
      <c r="E404" s="25" t="s">
        <v>775</v>
      </c>
      <c r="F404" s="25"/>
      <c r="G404" s="26">
        <v>2802739.1336794067</v>
      </c>
      <c r="H404" s="27">
        <v>46113</v>
      </c>
      <c r="I404" s="28">
        <v>46295</v>
      </c>
      <c r="J404" s="27">
        <v>28748</v>
      </c>
      <c r="K404" s="25">
        <f t="shared" si="30"/>
        <v>-78.708333333333329</v>
      </c>
      <c r="L404" s="25">
        <f t="shared" si="31"/>
        <v>-126.25277777777778</v>
      </c>
      <c r="M404" s="73">
        <v>1</v>
      </c>
      <c r="N404" s="76" t="str">
        <f t="shared" si="32"/>
        <v>TERMINO FIJO</v>
      </c>
      <c r="O404" s="32">
        <v>167</v>
      </c>
      <c r="P404" s="32">
        <v>5</v>
      </c>
      <c r="Q404" s="29" t="s">
        <v>35</v>
      </c>
      <c r="R404" s="29">
        <v>10</v>
      </c>
      <c r="S404" s="59">
        <v>3</v>
      </c>
      <c r="T404" s="32">
        <v>5</v>
      </c>
    </row>
    <row r="405" spans="1:20">
      <c r="A405" s="36" t="s">
        <v>511</v>
      </c>
      <c r="B405" s="71">
        <v>1087420760</v>
      </c>
      <c r="C405" s="36" t="s">
        <v>776</v>
      </c>
      <c r="D405" s="36" t="s">
        <v>650</v>
      </c>
      <c r="E405" s="36" t="s">
        <v>757</v>
      </c>
      <c r="F405" s="36"/>
      <c r="G405" s="37">
        <v>2802739.1336794067</v>
      </c>
      <c r="H405" s="38">
        <v>43907</v>
      </c>
      <c r="I405" s="39"/>
      <c r="J405" s="38">
        <v>34382</v>
      </c>
      <c r="K405" s="36">
        <f t="shared" si="30"/>
        <v>-94.13055555555556</v>
      </c>
      <c r="L405" s="36">
        <f t="shared" si="31"/>
        <v>-120.21388888888889</v>
      </c>
      <c r="M405" s="40" t="s">
        <v>34</v>
      </c>
      <c r="N405" s="41" t="str">
        <f t="shared" si="32"/>
        <v>TERMINO INDEFINIDO NUEVO</v>
      </c>
      <c r="O405" s="42">
        <v>167</v>
      </c>
      <c r="P405" s="42">
        <v>5</v>
      </c>
      <c r="Q405" s="35" t="s">
        <v>30</v>
      </c>
      <c r="R405" s="35">
        <v>10</v>
      </c>
      <c r="S405" s="94">
        <v>3</v>
      </c>
      <c r="T405" s="42">
        <v>5</v>
      </c>
    </row>
    <row r="406" spans="1:20">
      <c r="A406" s="25" t="s">
        <v>511</v>
      </c>
      <c r="B406" s="54" t="s">
        <v>777</v>
      </c>
      <c r="C406" s="25" t="s">
        <v>778</v>
      </c>
      <c r="D406" s="25" t="s">
        <v>650</v>
      </c>
      <c r="E406" s="25" t="s">
        <v>779</v>
      </c>
      <c r="F406" s="25"/>
      <c r="G406" s="26">
        <v>2802739.1336794067</v>
      </c>
      <c r="H406" s="27">
        <v>35125</v>
      </c>
      <c r="I406" s="28"/>
      <c r="J406" s="27">
        <v>23738</v>
      </c>
      <c r="K406" s="25">
        <f t="shared" si="30"/>
        <v>-64.99166666666666</v>
      </c>
      <c r="L406" s="25">
        <f t="shared" si="31"/>
        <v>-96.169444444444451</v>
      </c>
      <c r="M406" s="29">
        <v>2</v>
      </c>
      <c r="N406" s="76" t="str">
        <f t="shared" si="32"/>
        <v>TERMINO INDEFINIDO</v>
      </c>
      <c r="O406" s="32">
        <v>167</v>
      </c>
      <c r="P406" s="32">
        <v>5</v>
      </c>
      <c r="Q406" s="29" t="s">
        <v>30</v>
      </c>
      <c r="R406" s="29">
        <v>10</v>
      </c>
      <c r="S406" s="59">
        <v>3</v>
      </c>
      <c r="T406" s="32">
        <v>5</v>
      </c>
    </row>
    <row r="407" spans="1:20">
      <c r="A407" s="25" t="s">
        <v>511</v>
      </c>
      <c r="B407" s="54">
        <v>5292255</v>
      </c>
      <c r="C407" s="25" t="s">
        <v>780</v>
      </c>
      <c r="D407" s="25" t="s">
        <v>650</v>
      </c>
      <c r="E407" s="25" t="s">
        <v>781</v>
      </c>
      <c r="F407" s="25"/>
      <c r="G407" s="26">
        <v>2802739.134560891</v>
      </c>
      <c r="H407" s="27">
        <v>37073</v>
      </c>
      <c r="I407" s="28"/>
      <c r="J407" s="27">
        <v>26736</v>
      </c>
      <c r="K407" s="25">
        <f t="shared" si="30"/>
        <v>-73.202777777777783</v>
      </c>
      <c r="L407" s="25">
        <f t="shared" si="31"/>
        <v>-101.50277777777778</v>
      </c>
      <c r="M407" s="29">
        <v>2</v>
      </c>
      <c r="N407" s="76" t="str">
        <f t="shared" si="32"/>
        <v>TERMINO INDEFINIDO</v>
      </c>
      <c r="O407" s="32">
        <v>167</v>
      </c>
      <c r="P407" s="32">
        <v>5</v>
      </c>
      <c r="Q407" s="29" t="s">
        <v>30</v>
      </c>
      <c r="R407" s="29">
        <v>10</v>
      </c>
      <c r="S407" s="59">
        <v>3</v>
      </c>
      <c r="T407" s="32">
        <v>5</v>
      </c>
    </row>
    <row r="408" spans="1:20">
      <c r="A408" s="25" t="s">
        <v>511</v>
      </c>
      <c r="B408" s="54" t="s">
        <v>782</v>
      </c>
      <c r="C408" s="25" t="s">
        <v>783</v>
      </c>
      <c r="D408" s="25" t="s">
        <v>650</v>
      </c>
      <c r="E408" s="25" t="s">
        <v>779</v>
      </c>
      <c r="F408" s="25"/>
      <c r="G408" s="26">
        <v>2802739.1336794067</v>
      </c>
      <c r="H408" s="27">
        <v>34045</v>
      </c>
      <c r="I408" s="28"/>
      <c r="J408" s="27">
        <v>25020</v>
      </c>
      <c r="K408" s="25">
        <f t="shared" si="30"/>
        <v>-68.50277777777778</v>
      </c>
      <c r="L408" s="25">
        <f t="shared" si="31"/>
        <v>-93.213888888888889</v>
      </c>
      <c r="M408" s="29">
        <v>2</v>
      </c>
      <c r="N408" s="76" t="str">
        <f t="shared" si="32"/>
        <v>TERMINO INDEFINIDO</v>
      </c>
      <c r="O408" s="32">
        <v>167</v>
      </c>
      <c r="P408" s="32">
        <v>5</v>
      </c>
      <c r="Q408" s="29" t="s">
        <v>30</v>
      </c>
      <c r="R408" s="29">
        <v>10</v>
      </c>
      <c r="S408" s="59">
        <v>3</v>
      </c>
      <c r="T408" s="32">
        <v>5</v>
      </c>
    </row>
    <row r="409" spans="1:20">
      <c r="A409" s="24" t="s">
        <v>277</v>
      </c>
      <c r="B409" s="54">
        <v>1087426828</v>
      </c>
      <c r="C409" s="25" t="s">
        <v>784</v>
      </c>
      <c r="D409" s="25" t="s">
        <v>211</v>
      </c>
      <c r="E409" s="25" t="s">
        <v>726</v>
      </c>
      <c r="F409" s="25"/>
      <c r="G409" s="26">
        <v>2800872.1937719388</v>
      </c>
      <c r="H409" s="27">
        <v>46240</v>
      </c>
      <c r="I409" s="28">
        <v>46295</v>
      </c>
      <c r="J409" s="27">
        <v>36359</v>
      </c>
      <c r="K409" s="25">
        <f t="shared" si="30"/>
        <v>-99.55</v>
      </c>
      <c r="L409" s="25">
        <f t="shared" si="31"/>
        <v>-126.6</v>
      </c>
      <c r="M409" s="73">
        <v>1</v>
      </c>
      <c r="N409" s="76" t="str">
        <f t="shared" si="32"/>
        <v>TERMINO FIJO</v>
      </c>
      <c r="O409" s="32">
        <v>161</v>
      </c>
      <c r="P409" s="32">
        <v>4</v>
      </c>
      <c r="Q409" s="29" t="s">
        <v>35</v>
      </c>
      <c r="R409" s="29">
        <v>34</v>
      </c>
      <c r="S409" s="59">
        <v>5</v>
      </c>
      <c r="T409" s="32">
        <v>7</v>
      </c>
    </row>
    <row r="410" spans="1:20">
      <c r="A410" s="36" t="s">
        <v>453</v>
      </c>
      <c r="B410" s="71">
        <v>98135705</v>
      </c>
      <c r="C410" s="36" t="s">
        <v>785</v>
      </c>
      <c r="D410" s="36" t="s">
        <v>454</v>
      </c>
      <c r="E410" s="36" t="s">
        <v>726</v>
      </c>
      <c r="F410" s="36"/>
      <c r="G410" s="37">
        <v>2786076.361180109</v>
      </c>
      <c r="H410" s="38">
        <v>42828</v>
      </c>
      <c r="I410" s="39"/>
      <c r="J410" s="38">
        <v>28725</v>
      </c>
      <c r="K410" s="36">
        <f t="shared" si="30"/>
        <v>-78.647222222222226</v>
      </c>
      <c r="L410" s="36">
        <f t="shared" si="31"/>
        <v>-117.25833333333334</v>
      </c>
      <c r="M410" s="40" t="s">
        <v>34</v>
      </c>
      <c r="N410" s="41" t="str">
        <f t="shared" si="32"/>
        <v>TERMINO INDEFINIDO NUEVO</v>
      </c>
      <c r="O410" s="42">
        <v>164</v>
      </c>
      <c r="P410" s="42">
        <v>1</v>
      </c>
      <c r="Q410" s="35" t="s">
        <v>30</v>
      </c>
      <c r="R410" s="35">
        <v>10</v>
      </c>
      <c r="S410" s="94">
        <v>3</v>
      </c>
      <c r="T410" s="42">
        <v>5</v>
      </c>
    </row>
    <row r="411" spans="1:20">
      <c r="A411" s="36" t="s">
        <v>453</v>
      </c>
      <c r="B411" s="71">
        <v>98138858</v>
      </c>
      <c r="C411" s="36" t="s">
        <v>786</v>
      </c>
      <c r="D411" s="36" t="s">
        <v>454</v>
      </c>
      <c r="E411" s="36" t="s">
        <v>726</v>
      </c>
      <c r="F411" s="36"/>
      <c r="G411" s="37">
        <v>2786076.361180109</v>
      </c>
      <c r="H411" s="38">
        <v>40984</v>
      </c>
      <c r="I411" s="39"/>
      <c r="J411" s="38">
        <v>30273</v>
      </c>
      <c r="K411" s="36">
        <f t="shared" si="30"/>
        <v>-82.88333333333334</v>
      </c>
      <c r="L411" s="36">
        <f t="shared" si="31"/>
        <v>-112.21111111111111</v>
      </c>
      <c r="M411" s="40" t="s">
        <v>34</v>
      </c>
      <c r="N411" s="41" t="str">
        <f t="shared" si="32"/>
        <v>TERMINO INDEFINIDO NUEVO</v>
      </c>
      <c r="O411" s="42">
        <v>164</v>
      </c>
      <c r="P411" s="42">
        <v>1</v>
      </c>
      <c r="Q411" s="35" t="s">
        <v>30</v>
      </c>
      <c r="R411" s="35">
        <v>10</v>
      </c>
      <c r="S411" s="94">
        <v>2</v>
      </c>
      <c r="T411" s="42">
        <v>5</v>
      </c>
    </row>
    <row r="412" spans="1:20">
      <c r="A412" s="62" t="s">
        <v>237</v>
      </c>
      <c r="B412" s="61">
        <v>13067171</v>
      </c>
      <c r="C412" s="176" t="s">
        <v>787</v>
      </c>
      <c r="D412" s="62" t="s">
        <v>239</v>
      </c>
      <c r="E412" s="62" t="s">
        <v>726</v>
      </c>
      <c r="F412" s="62"/>
      <c r="G412" s="63">
        <v>2796466.8424588195</v>
      </c>
      <c r="H412" s="64">
        <v>43503</v>
      </c>
      <c r="I412" s="65"/>
      <c r="J412" s="64">
        <v>27428</v>
      </c>
      <c r="K412" s="62">
        <f t="shared" si="30"/>
        <v>-75.091666666666669</v>
      </c>
      <c r="L412" s="62">
        <f t="shared" si="31"/>
        <v>-119.10277777777777</v>
      </c>
      <c r="M412" s="66" t="s">
        <v>34</v>
      </c>
      <c r="N412" s="67" t="str">
        <f t="shared" si="32"/>
        <v>TERMINO INDEFINIDO NUEVO</v>
      </c>
      <c r="O412" s="68">
        <v>163</v>
      </c>
      <c r="P412" s="68">
        <v>3</v>
      </c>
      <c r="Q412" s="69" t="s">
        <v>30</v>
      </c>
      <c r="R412" s="69">
        <v>10</v>
      </c>
      <c r="S412" s="70">
        <v>3</v>
      </c>
      <c r="T412" s="68">
        <v>7</v>
      </c>
    </row>
    <row r="413" spans="1:20">
      <c r="A413" s="25" t="s">
        <v>501</v>
      </c>
      <c r="B413" s="54">
        <v>5345654</v>
      </c>
      <c r="C413" s="25" t="s">
        <v>788</v>
      </c>
      <c r="D413" s="25" t="s">
        <v>789</v>
      </c>
      <c r="E413" s="25" t="s">
        <v>761</v>
      </c>
      <c r="F413" s="25"/>
      <c r="G413" s="26">
        <v>2527665.9412533497</v>
      </c>
      <c r="H413" s="27">
        <v>45779</v>
      </c>
      <c r="I413" s="28">
        <v>46387</v>
      </c>
      <c r="J413" s="27">
        <v>29445</v>
      </c>
      <c r="K413" s="25">
        <f t="shared" si="30"/>
        <v>-80.61666666666666</v>
      </c>
      <c r="L413" s="25">
        <f t="shared" si="31"/>
        <v>-125.33888888888889</v>
      </c>
      <c r="M413" s="73">
        <v>1</v>
      </c>
      <c r="N413" s="76" t="str">
        <f t="shared" si="32"/>
        <v>TERMINO FIJO</v>
      </c>
      <c r="O413" s="32">
        <v>167</v>
      </c>
      <c r="P413" s="32">
        <v>5</v>
      </c>
      <c r="Q413" s="29" t="s">
        <v>30</v>
      </c>
      <c r="R413" s="29">
        <v>10</v>
      </c>
      <c r="S413" s="59">
        <v>3</v>
      </c>
      <c r="T413" s="32">
        <v>5</v>
      </c>
    </row>
    <row r="414" spans="1:20">
      <c r="A414" s="25" t="s">
        <v>264</v>
      </c>
      <c r="B414" s="54" t="s">
        <v>790</v>
      </c>
      <c r="C414" s="25" t="s">
        <v>791</v>
      </c>
      <c r="D414" s="25" t="s">
        <v>267</v>
      </c>
      <c r="E414" s="25" t="s">
        <v>726</v>
      </c>
      <c r="F414" s="25" t="s">
        <v>792</v>
      </c>
      <c r="G414" s="26">
        <v>3231587.61</v>
      </c>
      <c r="H414" s="27">
        <v>36526</v>
      </c>
      <c r="I414" s="28"/>
      <c r="J414" s="27">
        <v>26978</v>
      </c>
      <c r="K414" s="25">
        <f t="shared" si="30"/>
        <v>-73.861111111111114</v>
      </c>
      <c r="L414" s="25">
        <f t="shared" si="31"/>
        <v>-100.00277777777778</v>
      </c>
      <c r="M414" s="29">
        <v>2</v>
      </c>
      <c r="N414" s="76" t="str">
        <f t="shared" si="32"/>
        <v>TERMINO INDEFINIDO</v>
      </c>
      <c r="O414" s="32">
        <v>163</v>
      </c>
      <c r="P414" s="32">
        <v>3</v>
      </c>
      <c r="Q414" s="29" t="s">
        <v>30</v>
      </c>
      <c r="R414" s="29">
        <v>10</v>
      </c>
      <c r="S414" s="59">
        <v>3</v>
      </c>
      <c r="T414" s="32">
        <v>5</v>
      </c>
    </row>
    <row r="415" spans="1:20">
      <c r="A415" s="25" t="s">
        <v>264</v>
      </c>
      <c r="B415" s="54" t="s">
        <v>793</v>
      </c>
      <c r="C415" s="25" t="s">
        <v>794</v>
      </c>
      <c r="D415" s="25" t="s">
        <v>267</v>
      </c>
      <c r="E415" s="25" t="s">
        <v>726</v>
      </c>
      <c r="F415" s="25"/>
      <c r="G415" s="26">
        <v>3231586.9520465797</v>
      </c>
      <c r="H415" s="81">
        <v>35217</v>
      </c>
      <c r="I415" s="82"/>
      <c r="J415" s="27">
        <v>25757</v>
      </c>
      <c r="K415" s="25">
        <f t="shared" si="30"/>
        <v>-70.522222222222226</v>
      </c>
      <c r="L415" s="25">
        <f t="shared" si="31"/>
        <v>-96.419444444444451</v>
      </c>
      <c r="M415" s="29">
        <v>2</v>
      </c>
      <c r="N415" s="76" t="str">
        <f t="shared" si="32"/>
        <v>TERMINO INDEFINIDO</v>
      </c>
      <c r="O415" s="32">
        <v>163</v>
      </c>
      <c r="P415" s="32">
        <v>3</v>
      </c>
      <c r="Q415" s="29" t="s">
        <v>30</v>
      </c>
      <c r="R415" s="29">
        <v>10</v>
      </c>
      <c r="S415" s="59">
        <v>3</v>
      </c>
      <c r="T415" s="32">
        <v>7</v>
      </c>
    </row>
    <row r="416" spans="1:20">
      <c r="A416" s="25" t="s">
        <v>264</v>
      </c>
      <c r="B416" s="54"/>
      <c r="C416" s="25" t="s">
        <v>133</v>
      </c>
      <c r="D416" s="25" t="s">
        <v>267</v>
      </c>
      <c r="E416" s="25" t="s">
        <v>726</v>
      </c>
      <c r="F416" s="25"/>
      <c r="G416" s="26">
        <v>3231586.9520465797</v>
      </c>
      <c r="H416" s="27"/>
      <c r="I416" s="28"/>
      <c r="J416" s="27"/>
      <c r="K416" s="25">
        <f t="shared" si="30"/>
        <v>0</v>
      </c>
      <c r="L416" s="25">
        <f t="shared" si="31"/>
        <v>0</v>
      </c>
      <c r="M416" s="29">
        <v>91</v>
      </c>
      <c r="N416" s="76" t="str">
        <f t="shared" si="32"/>
        <v>OTRO</v>
      </c>
      <c r="O416" s="32">
        <v>163</v>
      </c>
      <c r="P416" s="32"/>
      <c r="Q416" s="29"/>
      <c r="R416" s="29"/>
      <c r="S416" s="59"/>
      <c r="T416" s="32"/>
    </row>
    <row r="417" spans="1:20">
      <c r="A417" s="25" t="s">
        <v>264</v>
      </c>
      <c r="B417" s="54"/>
      <c r="C417" s="25" t="s">
        <v>133</v>
      </c>
      <c r="D417" s="25" t="s">
        <v>267</v>
      </c>
      <c r="E417" s="25" t="s">
        <v>726</v>
      </c>
      <c r="F417" s="25"/>
      <c r="G417" s="26">
        <v>3231586.9520465797</v>
      </c>
      <c r="H417" s="27"/>
      <c r="I417" s="28"/>
      <c r="J417" s="27"/>
      <c r="K417" s="25">
        <f t="shared" si="30"/>
        <v>0</v>
      </c>
      <c r="L417" s="25">
        <f t="shared" si="31"/>
        <v>0</v>
      </c>
      <c r="M417" s="29">
        <v>91</v>
      </c>
      <c r="N417" s="76" t="str">
        <f t="shared" si="32"/>
        <v>OTRO</v>
      </c>
      <c r="O417" s="32">
        <v>163</v>
      </c>
      <c r="P417" s="32"/>
      <c r="Q417" s="29"/>
      <c r="R417" s="29"/>
      <c r="S417" s="59"/>
      <c r="T417" s="32"/>
    </row>
    <row r="418" spans="1:20">
      <c r="A418" s="25" t="s">
        <v>264</v>
      </c>
      <c r="B418" s="54" t="s">
        <v>795</v>
      </c>
      <c r="C418" s="25" t="s">
        <v>796</v>
      </c>
      <c r="D418" s="25" t="s">
        <v>267</v>
      </c>
      <c r="E418" s="25" t="s">
        <v>726</v>
      </c>
      <c r="F418" s="25" t="s">
        <v>797</v>
      </c>
      <c r="G418" s="26">
        <v>3231587.61</v>
      </c>
      <c r="H418" s="27">
        <v>33716</v>
      </c>
      <c r="I418" s="28"/>
      <c r="J418" s="27">
        <v>25102</v>
      </c>
      <c r="K418" s="25">
        <f>(DAYS360(J418,$K$1))/360</f>
        <v>-68.724999999999994</v>
      </c>
      <c r="L418" s="25">
        <f>(DAYS360(H418,$K$1))/360</f>
        <v>-92.311111111111117</v>
      </c>
      <c r="M418" s="29">
        <v>2</v>
      </c>
      <c r="N418" s="76" t="str">
        <f t="shared" si="32"/>
        <v>TERMINO INDEFINIDO</v>
      </c>
      <c r="O418" s="32">
        <v>164</v>
      </c>
      <c r="P418" s="32">
        <v>1</v>
      </c>
      <c r="Q418" s="29" t="s">
        <v>30</v>
      </c>
      <c r="R418" s="29">
        <v>10</v>
      </c>
      <c r="S418" s="59">
        <v>3</v>
      </c>
      <c r="T418" s="32">
        <v>7</v>
      </c>
    </row>
    <row r="419" spans="1:20">
      <c r="A419" s="25" t="s">
        <v>409</v>
      </c>
      <c r="B419" s="54" t="s">
        <v>798</v>
      </c>
      <c r="C419" s="25" t="s">
        <v>799</v>
      </c>
      <c r="D419" s="25" t="s">
        <v>411</v>
      </c>
      <c r="E419" s="25" t="s">
        <v>726</v>
      </c>
      <c r="F419" s="25" t="s">
        <v>800</v>
      </c>
      <c r="G419" s="26">
        <v>3231586.9520465797</v>
      </c>
      <c r="H419" s="81">
        <v>32979</v>
      </c>
      <c r="I419" s="82"/>
      <c r="J419" s="27">
        <v>23238</v>
      </c>
      <c r="K419" s="25">
        <f t="shared" si="30"/>
        <v>-63.625</v>
      </c>
      <c r="L419" s="25">
        <f t="shared" si="31"/>
        <v>-90.294444444444451</v>
      </c>
      <c r="M419" s="29">
        <v>2</v>
      </c>
      <c r="N419" s="76" t="str">
        <f t="shared" si="32"/>
        <v>TERMINO INDEFINIDO</v>
      </c>
      <c r="O419" s="32">
        <v>162</v>
      </c>
      <c r="P419" s="32">
        <v>5</v>
      </c>
      <c r="Q419" s="29" t="s">
        <v>30</v>
      </c>
      <c r="R419" s="29">
        <v>10</v>
      </c>
      <c r="S419" s="59">
        <v>5</v>
      </c>
      <c r="T419" s="32">
        <v>5</v>
      </c>
    </row>
    <row r="420" spans="1:20">
      <c r="A420" s="25" t="s">
        <v>409</v>
      </c>
      <c r="B420" s="54" t="s">
        <v>801</v>
      </c>
      <c r="C420" s="25" t="s">
        <v>802</v>
      </c>
      <c r="D420" s="25" t="s">
        <v>689</v>
      </c>
      <c r="E420" s="25" t="s">
        <v>726</v>
      </c>
      <c r="F420" s="25"/>
      <c r="G420" s="26">
        <v>3231586.9520465797</v>
      </c>
      <c r="H420" s="81">
        <v>33604</v>
      </c>
      <c r="I420" s="82"/>
      <c r="J420" s="27">
        <v>23545</v>
      </c>
      <c r="K420" s="25">
        <f t="shared" si="30"/>
        <v>-64.463888888888889</v>
      </c>
      <c r="L420" s="25">
        <f t="shared" si="31"/>
        <v>-92.00277777777778</v>
      </c>
      <c r="M420" s="29">
        <v>2</v>
      </c>
      <c r="N420" s="76" t="str">
        <f t="shared" si="32"/>
        <v>TERMINO INDEFINIDO</v>
      </c>
      <c r="O420" s="32">
        <v>163</v>
      </c>
      <c r="P420" s="32">
        <v>3</v>
      </c>
      <c r="Q420" s="29" t="s">
        <v>30</v>
      </c>
      <c r="R420" s="29">
        <v>10</v>
      </c>
      <c r="S420" s="59">
        <v>3</v>
      </c>
      <c r="T420" s="32">
        <v>5</v>
      </c>
    </row>
    <row r="421" spans="1:20">
      <c r="A421" s="24" t="s">
        <v>162</v>
      </c>
      <c r="B421" s="30">
        <v>98322839</v>
      </c>
      <c r="C421" s="25" t="s">
        <v>803</v>
      </c>
      <c r="D421" s="25" t="s">
        <v>165</v>
      </c>
      <c r="E421" s="25" t="s">
        <v>804</v>
      </c>
      <c r="F421" s="25"/>
      <c r="G421" s="26">
        <v>25016832</v>
      </c>
      <c r="H421" s="27">
        <v>36385</v>
      </c>
      <c r="I421" s="28"/>
      <c r="J421" s="27">
        <v>25652</v>
      </c>
      <c r="K421" s="25">
        <f>(DAYS360(J421,$K$1))/360</f>
        <v>-70.236111111111114</v>
      </c>
      <c r="L421" s="25">
        <f>(DAYS360(H421,$K$1))/360</f>
        <v>-99.61944444444444</v>
      </c>
      <c r="M421" s="29">
        <v>3</v>
      </c>
      <c r="N421" s="30" t="str">
        <f t="shared" si="32"/>
        <v>SALARIO INTEGRAL</v>
      </c>
      <c r="O421" s="29">
        <v>122</v>
      </c>
      <c r="P421" s="29">
        <v>5</v>
      </c>
      <c r="Q421" s="29" t="s">
        <v>30</v>
      </c>
      <c r="R421" s="29">
        <v>8</v>
      </c>
      <c r="S421" s="59">
        <v>5</v>
      </c>
      <c r="T421" s="32">
        <v>3</v>
      </c>
    </row>
    <row r="422" spans="1:20">
      <c r="A422" s="25" t="s">
        <v>36</v>
      </c>
      <c r="B422" s="54">
        <v>4900747</v>
      </c>
      <c r="C422" s="25" t="s">
        <v>805</v>
      </c>
      <c r="D422" s="25" t="s">
        <v>38</v>
      </c>
      <c r="E422" s="25" t="s">
        <v>804</v>
      </c>
      <c r="F422" s="25" t="s">
        <v>630</v>
      </c>
      <c r="G422" s="26">
        <v>3707009.4514301317</v>
      </c>
      <c r="H422" s="80">
        <v>35201</v>
      </c>
      <c r="I422" s="28"/>
      <c r="J422" s="27">
        <v>24801</v>
      </c>
      <c r="K422" s="25">
        <f t="shared" ref="K422:K445" si="33">(DAYS360(J422,$K$1))/360</f>
        <v>-67.902777777777771</v>
      </c>
      <c r="L422" s="25">
        <f t="shared" ref="L422:L445" si="34">(DAYS360(H422,$K$1))/360</f>
        <v>-96.37777777777778</v>
      </c>
      <c r="M422" s="29">
        <v>2</v>
      </c>
      <c r="N422" s="76" t="str">
        <f t="shared" si="32"/>
        <v>TERMINO INDEFINIDO</v>
      </c>
      <c r="O422" s="32">
        <v>142</v>
      </c>
      <c r="P422" s="32">
        <v>5</v>
      </c>
      <c r="Q422" s="29" t="s">
        <v>30</v>
      </c>
      <c r="R422" s="29">
        <v>7</v>
      </c>
      <c r="S422" s="165">
        <v>3</v>
      </c>
      <c r="T422" s="32">
        <v>6</v>
      </c>
    </row>
    <row r="423" spans="1:20">
      <c r="A423" s="25" t="s">
        <v>115</v>
      </c>
      <c r="B423" s="54" t="s">
        <v>806</v>
      </c>
      <c r="C423" s="25" t="s">
        <v>807</v>
      </c>
      <c r="D423" s="25" t="s">
        <v>122</v>
      </c>
      <c r="E423" s="25" t="s">
        <v>804</v>
      </c>
      <c r="F423" s="25" t="s">
        <v>637</v>
      </c>
      <c r="G423" s="26">
        <v>3283806.7690738421</v>
      </c>
      <c r="H423" s="80">
        <v>36724</v>
      </c>
      <c r="I423" s="28"/>
      <c r="J423" s="27">
        <v>24534</v>
      </c>
      <c r="K423" s="25">
        <f t="shared" si="33"/>
        <v>-67.174999999999997</v>
      </c>
      <c r="L423" s="25">
        <f t="shared" si="34"/>
        <v>-100.54722222222222</v>
      </c>
      <c r="M423" s="29">
        <v>2</v>
      </c>
      <c r="N423" s="76" t="str">
        <f t="shared" si="32"/>
        <v>TERMINO INDEFINIDO</v>
      </c>
      <c r="O423" s="32">
        <v>142</v>
      </c>
      <c r="P423" s="32">
        <v>5</v>
      </c>
      <c r="Q423" s="29" t="s">
        <v>35</v>
      </c>
      <c r="R423" s="29">
        <v>7</v>
      </c>
      <c r="S423" s="59">
        <v>2</v>
      </c>
      <c r="T423" s="32">
        <v>6</v>
      </c>
    </row>
    <row r="424" spans="1:20">
      <c r="A424" s="36" t="s">
        <v>115</v>
      </c>
      <c r="B424" s="71">
        <v>15814914</v>
      </c>
      <c r="C424" s="36" t="s">
        <v>808</v>
      </c>
      <c r="D424" s="36" t="s">
        <v>122</v>
      </c>
      <c r="E424" s="36" t="s">
        <v>804</v>
      </c>
      <c r="F424" s="36" t="s">
        <v>637</v>
      </c>
      <c r="G424" s="37">
        <v>3283806.7690738421</v>
      </c>
      <c r="H424" s="86">
        <v>38534</v>
      </c>
      <c r="I424" s="39"/>
      <c r="J424" s="38">
        <v>28089</v>
      </c>
      <c r="K424" s="36">
        <f t="shared" si="33"/>
        <v>-76.902777777777771</v>
      </c>
      <c r="L424" s="36">
        <f t="shared" si="34"/>
        <v>-105.50277777777778</v>
      </c>
      <c r="M424" s="40" t="s">
        <v>34</v>
      </c>
      <c r="N424" s="41" t="str">
        <f t="shared" si="32"/>
        <v>TERMINO INDEFINIDO NUEVO</v>
      </c>
      <c r="O424" s="42">
        <v>142</v>
      </c>
      <c r="P424" s="42">
        <v>5</v>
      </c>
      <c r="Q424" s="35" t="s">
        <v>30</v>
      </c>
      <c r="R424" s="35">
        <v>7</v>
      </c>
      <c r="S424" s="94">
        <v>2</v>
      </c>
      <c r="T424" s="42">
        <v>6</v>
      </c>
    </row>
    <row r="425" spans="1:20">
      <c r="A425" s="36" t="s">
        <v>124</v>
      </c>
      <c r="B425" s="71">
        <v>59705983</v>
      </c>
      <c r="C425" s="36" t="s">
        <v>809</v>
      </c>
      <c r="D425" s="36" t="s">
        <v>126</v>
      </c>
      <c r="E425" s="36" t="s">
        <v>804</v>
      </c>
      <c r="F425" s="36"/>
      <c r="G425" s="37">
        <v>2802739.1336794067</v>
      </c>
      <c r="H425" s="86">
        <v>38035</v>
      </c>
      <c r="I425" s="39"/>
      <c r="J425" s="38">
        <v>28367</v>
      </c>
      <c r="K425" s="36">
        <f t="shared" si="33"/>
        <v>-77.666666666666671</v>
      </c>
      <c r="L425" s="36">
        <f t="shared" si="34"/>
        <v>-104.13333333333334</v>
      </c>
      <c r="M425" s="40" t="s">
        <v>34</v>
      </c>
      <c r="N425" s="34" t="str">
        <f t="shared" si="32"/>
        <v>TERMINO INDEFINIDO NUEVO</v>
      </c>
      <c r="O425" s="35">
        <v>142</v>
      </c>
      <c r="P425" s="35">
        <v>5</v>
      </c>
      <c r="Q425" s="35" t="s">
        <v>35</v>
      </c>
      <c r="R425" s="35">
        <v>7</v>
      </c>
      <c r="S425" s="94">
        <v>5</v>
      </c>
      <c r="T425" s="42">
        <v>5</v>
      </c>
    </row>
    <row r="426" spans="1:20">
      <c r="A426" s="25" t="s">
        <v>409</v>
      </c>
      <c r="B426" s="54" t="s">
        <v>810</v>
      </c>
      <c r="C426" s="25" t="s">
        <v>811</v>
      </c>
      <c r="D426" s="25" t="s">
        <v>411</v>
      </c>
      <c r="E426" s="25" t="s">
        <v>804</v>
      </c>
      <c r="F426" s="25" t="s">
        <v>812</v>
      </c>
      <c r="G426" s="26">
        <v>3231586.9520465797</v>
      </c>
      <c r="H426" s="80">
        <v>33817</v>
      </c>
      <c r="I426" s="39"/>
      <c r="J426" s="27">
        <v>23632</v>
      </c>
      <c r="K426" s="25">
        <f t="shared" si="33"/>
        <v>-64.7</v>
      </c>
      <c r="L426" s="25">
        <f t="shared" si="34"/>
        <v>-92.586111111111109</v>
      </c>
      <c r="M426" s="29">
        <v>2</v>
      </c>
      <c r="N426" s="76" t="str">
        <f t="shared" si="32"/>
        <v>TERMINO INDEFINIDO</v>
      </c>
      <c r="O426" s="32">
        <v>147</v>
      </c>
      <c r="P426" s="32">
        <v>5</v>
      </c>
      <c r="Q426" s="29" t="s">
        <v>30</v>
      </c>
      <c r="R426" s="29">
        <v>8</v>
      </c>
      <c r="S426" s="59">
        <v>3</v>
      </c>
      <c r="T426" s="32">
        <v>5</v>
      </c>
    </row>
    <row r="427" spans="1:20">
      <c r="A427" s="36" t="s">
        <v>409</v>
      </c>
      <c r="B427" s="71">
        <v>15814988</v>
      </c>
      <c r="C427" s="36" t="s">
        <v>813</v>
      </c>
      <c r="D427" s="36" t="s">
        <v>411</v>
      </c>
      <c r="E427" s="36" t="s">
        <v>804</v>
      </c>
      <c r="F427" s="36" t="s">
        <v>812</v>
      </c>
      <c r="G427" s="37">
        <v>3231586.9520465797</v>
      </c>
      <c r="H427" s="86">
        <v>38368</v>
      </c>
      <c r="I427" s="39"/>
      <c r="J427" s="38">
        <v>28102</v>
      </c>
      <c r="K427" s="36">
        <f t="shared" si="33"/>
        <v>-76.938888888888883</v>
      </c>
      <c r="L427" s="36">
        <f t="shared" si="34"/>
        <v>-105.04444444444445</v>
      </c>
      <c r="M427" s="40" t="s">
        <v>34</v>
      </c>
      <c r="N427" s="41" t="str">
        <f t="shared" si="32"/>
        <v>TERMINO INDEFINIDO NUEVO</v>
      </c>
      <c r="O427" s="42">
        <v>143</v>
      </c>
      <c r="P427" s="42">
        <v>5</v>
      </c>
      <c r="Q427" s="35" t="s">
        <v>30</v>
      </c>
      <c r="R427" s="35">
        <v>8</v>
      </c>
      <c r="S427" s="94">
        <v>2</v>
      </c>
      <c r="T427" s="42">
        <v>5</v>
      </c>
    </row>
    <row r="428" spans="1:20">
      <c r="A428" s="36" t="s">
        <v>331</v>
      </c>
      <c r="B428" s="34">
        <v>5837848</v>
      </c>
      <c r="C428" s="35" t="s">
        <v>814</v>
      </c>
      <c r="D428" s="36" t="s">
        <v>333</v>
      </c>
      <c r="E428" s="36" t="s">
        <v>804</v>
      </c>
      <c r="F428" s="36" t="s">
        <v>812</v>
      </c>
      <c r="G428" s="37">
        <v>3120218.4913464608</v>
      </c>
      <c r="H428" s="86">
        <v>39105</v>
      </c>
      <c r="I428" s="39"/>
      <c r="J428" s="38">
        <v>26476</v>
      </c>
      <c r="K428" s="36">
        <f t="shared" si="33"/>
        <v>-72.488888888888894</v>
      </c>
      <c r="L428" s="36">
        <f t="shared" si="34"/>
        <v>-107.06388888888888</v>
      </c>
      <c r="M428" s="40" t="s">
        <v>34</v>
      </c>
      <c r="N428" s="41" t="str">
        <f t="shared" si="32"/>
        <v>TERMINO INDEFINIDO NUEVO</v>
      </c>
      <c r="O428" s="42">
        <v>142</v>
      </c>
      <c r="P428" s="42">
        <v>5</v>
      </c>
      <c r="Q428" s="35" t="s">
        <v>30</v>
      </c>
      <c r="R428" s="35">
        <v>8</v>
      </c>
      <c r="S428" s="94">
        <v>3</v>
      </c>
      <c r="T428" s="42">
        <v>5</v>
      </c>
    </row>
    <row r="429" spans="1:20">
      <c r="A429" s="44" t="s">
        <v>286</v>
      </c>
      <c r="B429" s="45">
        <v>15814958</v>
      </c>
      <c r="C429" s="44" t="s">
        <v>815</v>
      </c>
      <c r="D429" s="44" t="s">
        <v>288</v>
      </c>
      <c r="E429" s="44" t="s">
        <v>804</v>
      </c>
      <c r="F429" s="44" t="s">
        <v>812</v>
      </c>
      <c r="G429" s="46">
        <v>2786824.7655346259</v>
      </c>
      <c r="H429" s="132">
        <v>44412</v>
      </c>
      <c r="I429" s="48"/>
      <c r="J429" s="47">
        <v>27968</v>
      </c>
      <c r="K429" s="44">
        <f t="shared" si="33"/>
        <v>-76.575000000000003</v>
      </c>
      <c r="L429" s="44">
        <f t="shared" si="34"/>
        <v>-121.59444444444445</v>
      </c>
      <c r="M429" s="49" t="s">
        <v>34</v>
      </c>
      <c r="N429" s="106" t="str">
        <f t="shared" si="32"/>
        <v>TERMINO INDEFINIDO NUEVO</v>
      </c>
      <c r="O429" s="53">
        <v>142</v>
      </c>
      <c r="P429" s="53">
        <v>5</v>
      </c>
      <c r="Q429" s="51" t="s">
        <v>30</v>
      </c>
      <c r="R429" s="51">
        <v>8</v>
      </c>
      <c r="S429" s="97"/>
      <c r="T429" s="53">
        <v>5</v>
      </c>
    </row>
    <row r="430" spans="1:20">
      <c r="A430" s="62" t="s">
        <v>286</v>
      </c>
      <c r="B430" s="61">
        <v>14796430</v>
      </c>
      <c r="C430" s="62" t="s">
        <v>816</v>
      </c>
      <c r="D430" s="62" t="s">
        <v>288</v>
      </c>
      <c r="E430" s="62" t="s">
        <v>804</v>
      </c>
      <c r="F430" s="62" t="s">
        <v>812</v>
      </c>
      <c r="G430" s="63">
        <v>2786824.7655346259</v>
      </c>
      <c r="H430" s="127">
        <v>43209</v>
      </c>
      <c r="I430" s="65"/>
      <c r="J430" s="64">
        <v>30219</v>
      </c>
      <c r="K430" s="62">
        <f t="shared" si="33"/>
        <v>-82.736111111111114</v>
      </c>
      <c r="L430" s="62">
        <f t="shared" si="34"/>
        <v>-118.30277777777778</v>
      </c>
      <c r="M430" s="66" t="s">
        <v>34</v>
      </c>
      <c r="N430" s="74" t="str">
        <f t="shared" si="32"/>
        <v>TERMINO INDEFINIDO NUEVO</v>
      </c>
      <c r="O430" s="69">
        <v>143</v>
      </c>
      <c r="P430" s="69">
        <v>3</v>
      </c>
      <c r="Q430" s="69" t="s">
        <v>30</v>
      </c>
      <c r="R430" s="69">
        <v>8</v>
      </c>
      <c r="S430" s="70">
        <v>3</v>
      </c>
      <c r="T430" s="68">
        <v>5</v>
      </c>
    </row>
    <row r="431" spans="1:20">
      <c r="A431" s="36" t="s">
        <v>286</v>
      </c>
      <c r="B431" s="71">
        <v>15813580</v>
      </c>
      <c r="C431" s="36" t="s">
        <v>817</v>
      </c>
      <c r="D431" s="36" t="s">
        <v>288</v>
      </c>
      <c r="E431" s="36" t="s">
        <v>804</v>
      </c>
      <c r="F431" s="36" t="s">
        <v>818</v>
      </c>
      <c r="G431" s="37">
        <v>2786824.7655346259</v>
      </c>
      <c r="H431" s="86">
        <v>40940</v>
      </c>
      <c r="I431" s="39"/>
      <c r="J431" s="38">
        <v>26002</v>
      </c>
      <c r="K431" s="36">
        <f t="shared" si="33"/>
        <v>-71.194444444444443</v>
      </c>
      <c r="L431" s="36">
        <f t="shared" si="34"/>
        <v>-112.08611111111111</v>
      </c>
      <c r="M431" s="40" t="s">
        <v>34</v>
      </c>
      <c r="N431" s="41" t="str">
        <f t="shared" si="32"/>
        <v>TERMINO INDEFINIDO NUEVO</v>
      </c>
      <c r="O431" s="42">
        <v>143</v>
      </c>
      <c r="P431" s="42">
        <v>3</v>
      </c>
      <c r="Q431" s="35" t="s">
        <v>30</v>
      </c>
      <c r="R431" s="35">
        <v>8</v>
      </c>
      <c r="S431" s="94">
        <v>3</v>
      </c>
      <c r="T431" s="42">
        <v>5</v>
      </c>
    </row>
    <row r="432" spans="1:20">
      <c r="A432" s="44" t="s">
        <v>286</v>
      </c>
      <c r="B432" s="45">
        <v>15816138</v>
      </c>
      <c r="C432" s="44" t="s">
        <v>819</v>
      </c>
      <c r="D432" s="44" t="s">
        <v>288</v>
      </c>
      <c r="E432" s="44" t="s">
        <v>804</v>
      </c>
      <c r="F432" s="44" t="s">
        <v>812</v>
      </c>
      <c r="G432" s="46">
        <v>2786824.7655346259</v>
      </c>
      <c r="H432" s="132">
        <v>44410</v>
      </c>
      <c r="I432" s="48"/>
      <c r="J432" s="47">
        <v>31229</v>
      </c>
      <c r="K432" s="44">
        <f t="shared" si="33"/>
        <v>-85.50277777777778</v>
      </c>
      <c r="L432" s="44">
        <f t="shared" si="34"/>
        <v>-121.58888888888889</v>
      </c>
      <c r="M432" s="49" t="s">
        <v>34</v>
      </c>
      <c r="N432" s="106" t="str">
        <f t="shared" si="32"/>
        <v>TERMINO INDEFINIDO NUEVO</v>
      </c>
      <c r="O432" s="53">
        <v>143</v>
      </c>
      <c r="P432" s="53">
        <v>3</v>
      </c>
      <c r="Q432" s="51" t="s">
        <v>30</v>
      </c>
      <c r="R432" s="51">
        <v>8</v>
      </c>
      <c r="S432" s="97">
        <v>3</v>
      </c>
      <c r="T432" s="53">
        <v>5</v>
      </c>
    </row>
    <row r="433" spans="1:20">
      <c r="A433" s="171" t="s">
        <v>56</v>
      </c>
      <c r="B433" s="45">
        <v>15816892</v>
      </c>
      <c r="C433" s="44" t="s">
        <v>820</v>
      </c>
      <c r="D433" s="44" t="s">
        <v>275</v>
      </c>
      <c r="E433" s="44" t="s">
        <v>804</v>
      </c>
      <c r="F433" s="44" t="s">
        <v>821</v>
      </c>
      <c r="G433" s="46">
        <v>3231586.9520465797</v>
      </c>
      <c r="H433" s="132">
        <v>41673</v>
      </c>
      <c r="I433" s="48"/>
      <c r="J433" s="47">
        <v>30564</v>
      </c>
      <c r="K433" s="44">
        <f t="shared" si="33"/>
        <v>-83.680555555555557</v>
      </c>
      <c r="L433" s="44">
        <f t="shared" si="34"/>
        <v>-114.09166666666667</v>
      </c>
      <c r="M433" s="49" t="s">
        <v>34</v>
      </c>
      <c r="N433" s="50" t="str">
        <f t="shared" si="32"/>
        <v>TERMINO INDEFINIDO NUEVO</v>
      </c>
      <c r="O433" s="51">
        <v>143</v>
      </c>
      <c r="P433" s="51">
        <v>3</v>
      </c>
      <c r="Q433" s="51" t="s">
        <v>30</v>
      </c>
      <c r="R433" s="51">
        <v>8</v>
      </c>
      <c r="S433" s="97">
        <v>3</v>
      </c>
      <c r="T433" s="53">
        <v>5</v>
      </c>
    </row>
    <row r="434" spans="1:20">
      <c r="A434" s="171" t="s">
        <v>56</v>
      </c>
      <c r="B434" s="45">
        <v>15812950</v>
      </c>
      <c r="C434" s="44" t="s">
        <v>822</v>
      </c>
      <c r="D434" s="44" t="s">
        <v>275</v>
      </c>
      <c r="E434" s="44" t="s">
        <v>804</v>
      </c>
      <c r="F434" s="44"/>
      <c r="G434" s="46">
        <v>3231586.9520465797</v>
      </c>
      <c r="H434" s="132">
        <v>40725</v>
      </c>
      <c r="I434" s="48"/>
      <c r="J434" s="47">
        <v>25114</v>
      </c>
      <c r="K434" s="44">
        <f t="shared" si="33"/>
        <v>-68.75833333333334</v>
      </c>
      <c r="L434" s="44">
        <f t="shared" si="34"/>
        <v>-111.50277777777778</v>
      </c>
      <c r="M434" s="49" t="s">
        <v>34</v>
      </c>
      <c r="N434" s="50" t="str">
        <f t="shared" si="32"/>
        <v>TERMINO INDEFINIDO NUEVO</v>
      </c>
      <c r="O434" s="51">
        <v>142</v>
      </c>
      <c r="P434" s="51">
        <v>5</v>
      </c>
      <c r="Q434" s="51" t="s">
        <v>30</v>
      </c>
      <c r="R434" s="51">
        <v>8</v>
      </c>
      <c r="S434" s="97">
        <v>3</v>
      </c>
      <c r="T434" s="53">
        <v>5</v>
      </c>
    </row>
    <row r="435" spans="1:20">
      <c r="A435" s="72" t="s">
        <v>56</v>
      </c>
      <c r="B435" s="54" t="s">
        <v>823</v>
      </c>
      <c r="C435" s="25" t="s">
        <v>824</v>
      </c>
      <c r="D435" s="25" t="s">
        <v>275</v>
      </c>
      <c r="E435" s="25" t="s">
        <v>804</v>
      </c>
      <c r="F435" s="25"/>
      <c r="G435" s="26">
        <v>3231586.9520465797</v>
      </c>
      <c r="H435" s="80">
        <v>35582</v>
      </c>
      <c r="I435" s="28"/>
      <c r="J435" s="27">
        <v>25287</v>
      </c>
      <c r="K435" s="25">
        <f t="shared" si="33"/>
        <v>-69.236111111111114</v>
      </c>
      <c r="L435" s="25">
        <f t="shared" si="34"/>
        <v>-97.419444444444451</v>
      </c>
      <c r="M435" s="29">
        <v>2</v>
      </c>
      <c r="N435" s="30" t="str">
        <f t="shared" si="32"/>
        <v>TERMINO INDEFINIDO</v>
      </c>
      <c r="O435" s="29">
        <v>143</v>
      </c>
      <c r="P435" s="29">
        <v>3</v>
      </c>
      <c r="Q435" s="29" t="s">
        <v>30</v>
      </c>
      <c r="R435" s="29">
        <v>8</v>
      </c>
      <c r="S435" s="59">
        <v>2</v>
      </c>
      <c r="T435" s="32">
        <v>5</v>
      </c>
    </row>
    <row r="436" spans="1:20">
      <c r="A436" s="114" t="s">
        <v>56</v>
      </c>
      <c r="B436" s="71">
        <v>15813101</v>
      </c>
      <c r="C436" s="36" t="s">
        <v>825</v>
      </c>
      <c r="D436" s="36" t="s">
        <v>275</v>
      </c>
      <c r="E436" s="36" t="s">
        <v>804</v>
      </c>
      <c r="F436" s="36" t="s">
        <v>236</v>
      </c>
      <c r="G436" s="37">
        <v>3231586.9520465797</v>
      </c>
      <c r="H436" s="137">
        <v>42768</v>
      </c>
      <c r="I436" s="39"/>
      <c r="J436" s="38">
        <v>25329</v>
      </c>
      <c r="K436" s="36">
        <f t="shared" si="33"/>
        <v>-69.349999999999994</v>
      </c>
      <c r="L436" s="36">
        <f t="shared" si="34"/>
        <v>-117.08888888888889</v>
      </c>
      <c r="M436" s="40" t="s">
        <v>34</v>
      </c>
      <c r="N436" s="34" t="str">
        <f t="shared" si="32"/>
        <v>TERMINO INDEFINIDO NUEVO</v>
      </c>
      <c r="O436" s="35">
        <v>122</v>
      </c>
      <c r="P436" s="35">
        <v>5</v>
      </c>
      <c r="Q436" s="35" t="s">
        <v>30</v>
      </c>
      <c r="R436" s="35">
        <v>8</v>
      </c>
      <c r="S436" s="94">
        <v>3</v>
      </c>
      <c r="T436" s="42">
        <v>5</v>
      </c>
    </row>
    <row r="437" spans="1:20">
      <c r="A437" s="130" t="s">
        <v>501</v>
      </c>
      <c r="B437" s="54">
        <v>1004675514</v>
      </c>
      <c r="C437" s="25" t="s">
        <v>826</v>
      </c>
      <c r="D437" s="25" t="s">
        <v>503</v>
      </c>
      <c r="E437" s="25" t="s">
        <v>804</v>
      </c>
      <c r="F437" s="177" t="s">
        <v>827</v>
      </c>
      <c r="G437" s="26">
        <v>2527665.9900000002</v>
      </c>
      <c r="H437" s="27">
        <v>46105</v>
      </c>
      <c r="I437" s="28">
        <v>46387</v>
      </c>
      <c r="J437" s="27">
        <v>37663</v>
      </c>
      <c r="K437" s="25">
        <f>(DAYS360(J437,$K$1))/360</f>
        <v>-103.11388888888889</v>
      </c>
      <c r="L437" s="25">
        <f>(DAYS360(H437,$K$1))/360</f>
        <v>-126.23333333333333</v>
      </c>
      <c r="M437" s="73">
        <v>1</v>
      </c>
      <c r="N437" s="76" t="str">
        <f>IF(M437=3,"SALARIO INTEGRAL",IF(M437=2,"TERMINO INDEFINIDO",IF(M437=1,"TERMINO FIJO",IF(M437="2_N","TERMINO INDEFINIDO NUEVO","OTRO"))))</f>
        <v>TERMINO FIJO</v>
      </c>
      <c r="O437" s="35">
        <v>147</v>
      </c>
      <c r="P437" s="35">
        <v>5</v>
      </c>
      <c r="Q437" s="29" t="s">
        <v>30</v>
      </c>
      <c r="R437" s="29">
        <v>8</v>
      </c>
      <c r="S437" s="59">
        <v>3</v>
      </c>
      <c r="T437" s="32">
        <v>5</v>
      </c>
    </row>
    <row r="438" spans="1:20">
      <c r="A438" s="36" t="s">
        <v>511</v>
      </c>
      <c r="B438" s="71">
        <v>98197030</v>
      </c>
      <c r="C438" s="36" t="s">
        <v>828</v>
      </c>
      <c r="D438" s="36" t="s">
        <v>650</v>
      </c>
      <c r="E438" s="36" t="s">
        <v>829</v>
      </c>
      <c r="F438" s="36"/>
      <c r="G438" s="37">
        <v>2802739.1336794067</v>
      </c>
      <c r="H438" s="86">
        <v>40695</v>
      </c>
      <c r="I438" s="39"/>
      <c r="J438" s="38">
        <v>30975</v>
      </c>
      <c r="K438" s="36">
        <f t="shared" si="33"/>
        <v>-84.805555555555557</v>
      </c>
      <c r="L438" s="36">
        <f t="shared" si="34"/>
        <v>-111.41944444444445</v>
      </c>
      <c r="M438" s="40" t="s">
        <v>34</v>
      </c>
      <c r="N438" s="34" t="str">
        <f t="shared" si="32"/>
        <v>TERMINO INDEFINIDO NUEVO</v>
      </c>
      <c r="O438" s="35">
        <v>147</v>
      </c>
      <c r="P438" s="35">
        <v>5</v>
      </c>
      <c r="Q438" s="35" t="s">
        <v>30</v>
      </c>
      <c r="R438" s="35">
        <v>8</v>
      </c>
      <c r="S438" s="94">
        <v>3</v>
      </c>
      <c r="T438" s="42">
        <v>5</v>
      </c>
    </row>
    <row r="439" spans="1:20">
      <c r="A439" s="36" t="s">
        <v>511</v>
      </c>
      <c r="B439" s="71">
        <v>87028197</v>
      </c>
      <c r="C439" s="36" t="s">
        <v>830</v>
      </c>
      <c r="D439" s="36" t="s">
        <v>650</v>
      </c>
      <c r="E439" s="36" t="s">
        <v>831</v>
      </c>
      <c r="F439" s="36"/>
      <c r="G439" s="37">
        <v>2802739.1336794067</v>
      </c>
      <c r="H439" s="86">
        <v>40675</v>
      </c>
      <c r="I439" s="39"/>
      <c r="J439" s="38">
        <v>27410</v>
      </c>
      <c r="K439" s="36">
        <f t="shared" si="33"/>
        <v>-75.044444444444451</v>
      </c>
      <c r="L439" s="36">
        <f t="shared" si="34"/>
        <v>-111.36666666666666</v>
      </c>
      <c r="M439" s="40" t="s">
        <v>34</v>
      </c>
      <c r="N439" s="34" t="str">
        <f t="shared" si="32"/>
        <v>TERMINO INDEFINIDO NUEVO</v>
      </c>
      <c r="O439" s="35">
        <v>147</v>
      </c>
      <c r="P439" s="35">
        <v>5</v>
      </c>
      <c r="Q439" s="35" t="s">
        <v>30</v>
      </c>
      <c r="R439" s="35">
        <v>8</v>
      </c>
      <c r="S439" s="94">
        <v>3</v>
      </c>
      <c r="T439" s="42">
        <v>5</v>
      </c>
    </row>
    <row r="440" spans="1:20">
      <c r="A440" s="25" t="s">
        <v>511</v>
      </c>
      <c r="B440" s="54">
        <v>5216506</v>
      </c>
      <c r="C440" s="25" t="s">
        <v>832</v>
      </c>
      <c r="D440" s="25" t="s">
        <v>650</v>
      </c>
      <c r="E440" s="25" t="s">
        <v>833</v>
      </c>
      <c r="F440" s="25"/>
      <c r="G440" s="26">
        <v>2802739.1336794067</v>
      </c>
      <c r="H440" s="80">
        <v>34351</v>
      </c>
      <c r="I440" s="39"/>
      <c r="J440" s="27">
        <v>22829</v>
      </c>
      <c r="K440" s="25">
        <f t="shared" si="33"/>
        <v>-62.505555555555553</v>
      </c>
      <c r="L440" s="25">
        <f t="shared" si="34"/>
        <v>-94.047222222222217</v>
      </c>
      <c r="M440" s="29">
        <v>2</v>
      </c>
      <c r="N440" s="76" t="str">
        <f t="shared" si="32"/>
        <v>TERMINO INDEFINIDO</v>
      </c>
      <c r="O440" s="32">
        <v>147</v>
      </c>
      <c r="P440" s="32">
        <v>5</v>
      </c>
      <c r="Q440" s="29" t="s">
        <v>30</v>
      </c>
      <c r="R440" s="29">
        <v>8</v>
      </c>
      <c r="S440" s="59">
        <v>3</v>
      </c>
      <c r="T440" s="32">
        <v>5</v>
      </c>
    </row>
    <row r="441" spans="1:20">
      <c r="A441" s="25" t="s">
        <v>511</v>
      </c>
      <c r="B441" s="54" t="s">
        <v>834</v>
      </c>
      <c r="C441" s="25" t="s">
        <v>835</v>
      </c>
      <c r="D441" s="25" t="s">
        <v>650</v>
      </c>
      <c r="E441" s="25" t="s">
        <v>836</v>
      </c>
      <c r="F441" s="25"/>
      <c r="G441" s="26">
        <v>2802739.1336794067</v>
      </c>
      <c r="H441" s="80">
        <v>33785</v>
      </c>
      <c r="I441" s="39"/>
      <c r="J441" s="27">
        <v>25253</v>
      </c>
      <c r="K441" s="25">
        <f t="shared" si="33"/>
        <v>-69.136111111111106</v>
      </c>
      <c r="L441" s="25">
        <f t="shared" si="34"/>
        <v>-92.5</v>
      </c>
      <c r="M441" s="29">
        <v>2</v>
      </c>
      <c r="N441" s="76" t="str">
        <f t="shared" si="32"/>
        <v>TERMINO INDEFINIDO</v>
      </c>
      <c r="O441" s="32">
        <v>147</v>
      </c>
      <c r="P441" s="32">
        <v>5</v>
      </c>
      <c r="Q441" s="29" t="s">
        <v>30</v>
      </c>
      <c r="R441" s="29">
        <v>8</v>
      </c>
      <c r="S441" s="59">
        <v>3</v>
      </c>
      <c r="T441" s="32">
        <v>5</v>
      </c>
    </row>
    <row r="442" spans="1:20">
      <c r="A442" s="44" t="s">
        <v>511</v>
      </c>
      <c r="B442" s="45">
        <v>87027803</v>
      </c>
      <c r="C442" s="44" t="s">
        <v>837</v>
      </c>
      <c r="D442" s="44" t="s">
        <v>650</v>
      </c>
      <c r="E442" s="44" t="s">
        <v>831</v>
      </c>
      <c r="F442" s="44"/>
      <c r="G442" s="46">
        <v>2802739.1336794067</v>
      </c>
      <c r="H442" s="132">
        <v>44516</v>
      </c>
      <c r="I442" s="48"/>
      <c r="J442" s="47">
        <v>26620</v>
      </c>
      <c r="K442" s="44">
        <f t="shared" si="33"/>
        <v>-72.88055555555556</v>
      </c>
      <c r="L442" s="44">
        <f t="shared" si="34"/>
        <v>-121.87777777777778</v>
      </c>
      <c r="M442" s="49" t="s">
        <v>34</v>
      </c>
      <c r="N442" s="106" t="str">
        <f t="shared" si="32"/>
        <v>TERMINO INDEFINIDO NUEVO</v>
      </c>
      <c r="O442" s="53">
        <v>147</v>
      </c>
      <c r="P442" s="53">
        <v>5</v>
      </c>
      <c r="Q442" s="51" t="s">
        <v>30</v>
      </c>
      <c r="R442" s="51">
        <v>8</v>
      </c>
      <c r="S442" s="178">
        <v>3</v>
      </c>
      <c r="T442" s="53">
        <v>5</v>
      </c>
    </row>
    <row r="443" spans="1:20">
      <c r="A443" s="36" t="s">
        <v>501</v>
      </c>
      <c r="B443" s="34">
        <v>87472834</v>
      </c>
      <c r="C443" s="35" t="s">
        <v>838</v>
      </c>
      <c r="D443" s="36" t="s">
        <v>789</v>
      </c>
      <c r="E443" s="36" t="s">
        <v>833</v>
      </c>
      <c r="F443" s="36"/>
      <c r="G443" s="37">
        <v>2527665.2085527098</v>
      </c>
      <c r="H443" s="38">
        <v>41380</v>
      </c>
      <c r="I443" s="39"/>
      <c r="J443" s="38">
        <v>28086</v>
      </c>
      <c r="K443" s="36">
        <f t="shared" si="33"/>
        <v>-76.894444444444446</v>
      </c>
      <c r="L443" s="36">
        <f t="shared" si="34"/>
        <v>-113.29444444444445</v>
      </c>
      <c r="M443" s="40" t="s">
        <v>34</v>
      </c>
      <c r="N443" s="41" t="str">
        <f t="shared" si="32"/>
        <v>TERMINO INDEFINIDO NUEVO</v>
      </c>
      <c r="O443" s="42">
        <v>137</v>
      </c>
      <c r="P443" s="42">
        <v>5</v>
      </c>
      <c r="Q443" s="35" t="s">
        <v>30</v>
      </c>
      <c r="R443" s="35">
        <v>8</v>
      </c>
      <c r="S443" s="101">
        <v>3</v>
      </c>
      <c r="T443" s="42">
        <v>5</v>
      </c>
    </row>
    <row r="444" spans="1:20">
      <c r="A444" s="25" t="s">
        <v>134</v>
      </c>
      <c r="B444" s="54" t="s">
        <v>839</v>
      </c>
      <c r="C444" s="25" t="s">
        <v>840</v>
      </c>
      <c r="D444" s="25" t="s">
        <v>529</v>
      </c>
      <c r="E444" s="25" t="s">
        <v>804</v>
      </c>
      <c r="F444" s="25"/>
      <c r="G444" s="26">
        <v>5637209.6255697869</v>
      </c>
      <c r="H444" s="80">
        <v>34395</v>
      </c>
      <c r="I444" s="39"/>
      <c r="J444" s="27">
        <v>24416</v>
      </c>
      <c r="K444" s="25">
        <f t="shared" si="33"/>
        <v>-66.847222222222229</v>
      </c>
      <c r="L444" s="25">
        <f t="shared" si="34"/>
        <v>-94.172222222222217</v>
      </c>
      <c r="M444" s="29">
        <v>2</v>
      </c>
      <c r="N444" s="30" t="str">
        <f t="shared" si="32"/>
        <v>TERMINO INDEFINIDO</v>
      </c>
      <c r="O444" s="29">
        <v>147</v>
      </c>
      <c r="P444" s="29">
        <v>5</v>
      </c>
      <c r="Q444" s="29" t="s">
        <v>30</v>
      </c>
      <c r="R444" s="29">
        <v>8</v>
      </c>
      <c r="S444" s="59">
        <v>4</v>
      </c>
      <c r="T444" s="32">
        <v>6</v>
      </c>
    </row>
    <row r="445" spans="1:20">
      <c r="A445" s="62" t="s">
        <v>237</v>
      </c>
      <c r="B445" s="61">
        <v>4416808</v>
      </c>
      <c r="C445" s="62" t="s">
        <v>841</v>
      </c>
      <c r="D445" s="62" t="s">
        <v>239</v>
      </c>
      <c r="E445" s="62" t="s">
        <v>804</v>
      </c>
      <c r="F445" s="62"/>
      <c r="G445" s="63">
        <v>2796466.9975159406</v>
      </c>
      <c r="H445" s="127">
        <v>43591</v>
      </c>
      <c r="I445" s="65"/>
      <c r="J445" s="64">
        <v>30026</v>
      </c>
      <c r="K445" s="62">
        <f t="shared" si="33"/>
        <v>-82.211111111111109</v>
      </c>
      <c r="L445" s="62">
        <f t="shared" si="34"/>
        <v>-119.35</v>
      </c>
      <c r="M445" s="66" t="s">
        <v>34</v>
      </c>
      <c r="N445" s="67" t="str">
        <f t="shared" si="32"/>
        <v>TERMINO INDEFINIDO NUEVO</v>
      </c>
      <c r="O445" s="68">
        <v>147</v>
      </c>
      <c r="P445" s="68">
        <v>4</v>
      </c>
      <c r="Q445" s="69" t="s">
        <v>30</v>
      </c>
      <c r="R445" s="69">
        <v>8</v>
      </c>
      <c r="S445" s="70"/>
      <c r="T445" s="68">
        <v>7</v>
      </c>
    </row>
    <row r="446" spans="1:20">
      <c r="A446" s="25" t="s">
        <v>67</v>
      </c>
      <c r="B446" s="25" t="s">
        <v>842</v>
      </c>
      <c r="C446" s="25" t="s">
        <v>843</v>
      </c>
      <c r="D446" s="25" t="s">
        <v>69</v>
      </c>
      <c r="E446" s="25" t="s">
        <v>844</v>
      </c>
      <c r="F446" s="25" t="s">
        <v>845</v>
      </c>
      <c r="G446" s="26">
        <v>9446508.7131569237</v>
      </c>
      <c r="H446" s="27">
        <v>35626</v>
      </c>
      <c r="I446" s="39"/>
      <c r="J446" s="27">
        <v>25651</v>
      </c>
      <c r="K446" s="25">
        <f>(DAYS360(J446,$K$1))/360</f>
        <v>-70.233333333333334</v>
      </c>
      <c r="L446" s="25">
        <f>(DAYS360(H446,$K$1))/360</f>
        <v>-97.541666666666671</v>
      </c>
      <c r="M446" s="29">
        <v>2</v>
      </c>
      <c r="N446" s="30" t="str">
        <f t="shared" si="32"/>
        <v>TERMINO INDEFINIDO</v>
      </c>
      <c r="O446" s="29">
        <v>122</v>
      </c>
      <c r="P446" s="29">
        <v>5</v>
      </c>
      <c r="Q446" s="29" t="s">
        <v>30</v>
      </c>
      <c r="R446" s="29">
        <v>18</v>
      </c>
      <c r="S446" s="59">
        <v>5</v>
      </c>
      <c r="T446" s="32">
        <v>4</v>
      </c>
    </row>
    <row r="447" spans="1:20">
      <c r="A447" s="25" t="s">
        <v>139</v>
      </c>
      <c r="B447" s="54" t="s">
        <v>846</v>
      </c>
      <c r="C447" s="25" t="s">
        <v>847</v>
      </c>
      <c r="D447" s="25" t="s">
        <v>141</v>
      </c>
      <c r="E447" s="25" t="s">
        <v>844</v>
      </c>
      <c r="F447" s="25"/>
      <c r="G447" s="26">
        <v>3971698.2212848198</v>
      </c>
      <c r="H447" s="27">
        <v>32548</v>
      </c>
      <c r="I447" s="39"/>
      <c r="J447" s="27">
        <v>24569</v>
      </c>
      <c r="K447" s="25">
        <f t="shared" ref="K447:K487" si="35">(DAYS360(J447,$K$1))/360</f>
        <v>-67.269444444444446</v>
      </c>
      <c r="L447" s="25">
        <f t="shared" ref="L447:L487" si="36">(DAYS360(H447,$K$1))/360</f>
        <v>-89.108333333333334</v>
      </c>
      <c r="M447" s="29">
        <v>2</v>
      </c>
      <c r="N447" s="76" t="str">
        <f t="shared" si="32"/>
        <v>TERMINO INDEFINIDO</v>
      </c>
      <c r="O447" s="32">
        <v>124</v>
      </c>
      <c r="P447" s="32">
        <v>1</v>
      </c>
      <c r="Q447" s="29" t="s">
        <v>30</v>
      </c>
      <c r="R447" s="29">
        <v>18</v>
      </c>
      <c r="S447" s="165">
        <v>3</v>
      </c>
      <c r="T447" s="32">
        <v>6</v>
      </c>
    </row>
    <row r="448" spans="1:20">
      <c r="A448" s="25" t="s">
        <v>139</v>
      </c>
      <c r="B448" s="54">
        <v>98322654</v>
      </c>
      <c r="C448" s="25" t="s">
        <v>848</v>
      </c>
      <c r="D448" s="25" t="s">
        <v>141</v>
      </c>
      <c r="E448" s="25" t="s">
        <v>844</v>
      </c>
      <c r="F448" s="25" t="s">
        <v>495</v>
      </c>
      <c r="G448" s="26">
        <v>3971698.29</v>
      </c>
      <c r="H448" s="27">
        <v>34425</v>
      </c>
      <c r="I448" s="28"/>
      <c r="J448" s="27">
        <v>24482</v>
      </c>
      <c r="K448" s="25">
        <f>(DAYS360(J448,$K$1))/360</f>
        <v>-67.027777777777771</v>
      </c>
      <c r="L448" s="25">
        <f>(DAYS360(H448,$K$1))/360</f>
        <v>-94.25277777777778</v>
      </c>
      <c r="M448" s="73">
        <v>2</v>
      </c>
      <c r="N448" s="76" t="str">
        <f t="shared" si="32"/>
        <v>TERMINO INDEFINIDO</v>
      </c>
      <c r="O448" s="32">
        <v>124</v>
      </c>
      <c r="P448" s="32">
        <v>5</v>
      </c>
      <c r="Q448" s="29" t="s">
        <v>30</v>
      </c>
      <c r="R448" s="29">
        <v>18</v>
      </c>
      <c r="S448" s="59">
        <v>3</v>
      </c>
      <c r="T448" s="32">
        <v>5</v>
      </c>
    </row>
    <row r="449" spans="1:20">
      <c r="A449" s="25" t="s">
        <v>77</v>
      </c>
      <c r="B449" s="54">
        <v>27450722</v>
      </c>
      <c r="C449" s="25" t="s">
        <v>849</v>
      </c>
      <c r="D449" s="25" t="s">
        <v>148</v>
      </c>
      <c r="E449" s="25" t="s">
        <v>844</v>
      </c>
      <c r="F449" s="25" t="s">
        <v>850</v>
      </c>
      <c r="G449" s="26">
        <v>3650451.9472095771</v>
      </c>
      <c r="H449" s="27">
        <v>35989</v>
      </c>
      <c r="I449" s="39"/>
      <c r="J449" s="27">
        <v>23507</v>
      </c>
      <c r="K449" s="25">
        <f t="shared" si="35"/>
        <v>-64.361111111111114</v>
      </c>
      <c r="L449" s="25">
        <f t="shared" si="36"/>
        <v>-98.536111111111111</v>
      </c>
      <c r="M449" s="29">
        <v>2</v>
      </c>
      <c r="N449" s="76" t="str">
        <f t="shared" si="32"/>
        <v>TERMINO INDEFINIDO</v>
      </c>
      <c r="O449" s="32">
        <v>124</v>
      </c>
      <c r="P449" s="32">
        <v>1</v>
      </c>
      <c r="Q449" s="29" t="s">
        <v>35</v>
      </c>
      <c r="R449" s="29">
        <v>18</v>
      </c>
      <c r="S449" s="59">
        <v>3</v>
      </c>
      <c r="T449" s="32">
        <v>6</v>
      </c>
    </row>
    <row r="450" spans="1:20">
      <c r="A450" s="25" t="s">
        <v>77</v>
      </c>
      <c r="B450" s="54">
        <v>94072011</v>
      </c>
      <c r="C450" s="25" t="s">
        <v>851</v>
      </c>
      <c r="D450" s="25" t="s">
        <v>148</v>
      </c>
      <c r="E450" s="25" t="s">
        <v>844</v>
      </c>
      <c r="F450" s="25" t="s">
        <v>852</v>
      </c>
      <c r="G450" s="26">
        <v>3650451.9472095771</v>
      </c>
      <c r="H450" s="27">
        <v>45845</v>
      </c>
      <c r="I450" s="28">
        <v>46387</v>
      </c>
      <c r="J450" s="27">
        <v>30455</v>
      </c>
      <c r="K450" s="25">
        <f t="shared" si="35"/>
        <v>-83.386111111111106</v>
      </c>
      <c r="L450" s="25">
        <f t="shared" si="36"/>
        <v>-125.51944444444445</v>
      </c>
      <c r="M450" s="29">
        <v>1</v>
      </c>
      <c r="N450" s="76" t="str">
        <f t="shared" si="32"/>
        <v>TERMINO FIJO</v>
      </c>
      <c r="O450" s="32">
        <v>124</v>
      </c>
      <c r="P450" s="32">
        <v>1</v>
      </c>
      <c r="Q450" s="29" t="s">
        <v>30</v>
      </c>
      <c r="R450" s="29">
        <v>18</v>
      </c>
      <c r="S450" s="59">
        <v>2</v>
      </c>
      <c r="T450" s="32">
        <v>6</v>
      </c>
    </row>
    <row r="451" spans="1:20">
      <c r="A451" s="36" t="s">
        <v>77</v>
      </c>
      <c r="B451" s="71">
        <v>98323622</v>
      </c>
      <c r="C451" s="36" t="s">
        <v>853</v>
      </c>
      <c r="D451" s="36" t="s">
        <v>79</v>
      </c>
      <c r="E451" s="36" t="s">
        <v>844</v>
      </c>
      <c r="F451" s="36"/>
      <c r="G451" s="37">
        <v>3650451.6577087659</v>
      </c>
      <c r="H451" s="38">
        <v>39147</v>
      </c>
      <c r="I451" s="39"/>
      <c r="J451" s="38">
        <v>27201</v>
      </c>
      <c r="K451" s="36">
        <f t="shared" si="35"/>
        <v>-74.474999999999994</v>
      </c>
      <c r="L451" s="36">
        <f t="shared" si="36"/>
        <v>-107.18333333333334</v>
      </c>
      <c r="M451" s="40" t="s">
        <v>34</v>
      </c>
      <c r="N451" s="41" t="str">
        <f t="shared" si="32"/>
        <v>TERMINO INDEFINIDO NUEVO</v>
      </c>
      <c r="O451" s="42">
        <v>124</v>
      </c>
      <c r="P451" s="42">
        <v>5</v>
      </c>
      <c r="Q451" s="35" t="s">
        <v>30</v>
      </c>
      <c r="R451" s="35">
        <v>18</v>
      </c>
      <c r="S451" s="94">
        <v>2</v>
      </c>
      <c r="T451" s="42">
        <v>6</v>
      </c>
    </row>
    <row r="452" spans="1:20">
      <c r="A452" s="25" t="s">
        <v>134</v>
      </c>
      <c r="B452" s="54">
        <v>27451394</v>
      </c>
      <c r="C452" s="25" t="s">
        <v>854</v>
      </c>
      <c r="D452" s="179" t="s">
        <v>529</v>
      </c>
      <c r="E452" s="25" t="s">
        <v>844</v>
      </c>
      <c r="F452" s="25" t="s">
        <v>44</v>
      </c>
      <c r="G452" s="26">
        <v>5637209.9356840365</v>
      </c>
      <c r="H452" s="27">
        <v>36103</v>
      </c>
      <c r="I452" s="39"/>
      <c r="J452" s="27">
        <v>26253</v>
      </c>
      <c r="K452" s="25">
        <f t="shared" si="35"/>
        <v>-71.87777777777778</v>
      </c>
      <c r="L452" s="25">
        <f t="shared" si="36"/>
        <v>-98.844444444444449</v>
      </c>
      <c r="M452" s="29">
        <v>2</v>
      </c>
      <c r="N452" s="76" t="str">
        <f t="shared" si="32"/>
        <v>TERMINO INDEFINIDO</v>
      </c>
      <c r="O452" s="32">
        <v>121</v>
      </c>
      <c r="P452" s="32">
        <v>4</v>
      </c>
      <c r="Q452" s="29" t="s">
        <v>35</v>
      </c>
      <c r="R452" s="29">
        <v>18</v>
      </c>
      <c r="S452" s="59">
        <v>2</v>
      </c>
      <c r="T452" s="32">
        <v>6</v>
      </c>
    </row>
    <row r="453" spans="1:20">
      <c r="A453" s="1" t="s">
        <v>220</v>
      </c>
      <c r="B453" s="54">
        <v>1085662254</v>
      </c>
      <c r="C453" s="25" t="s">
        <v>855</v>
      </c>
      <c r="D453" s="25" t="s">
        <v>401</v>
      </c>
      <c r="E453" s="25" t="s">
        <v>844</v>
      </c>
      <c r="F453" s="25"/>
      <c r="G453" s="26">
        <v>3120218.4913464608</v>
      </c>
      <c r="H453" s="27">
        <v>46239</v>
      </c>
      <c r="I453" s="28">
        <v>46295</v>
      </c>
      <c r="J453" s="27">
        <v>33966</v>
      </c>
      <c r="K453" s="25">
        <f t="shared" si="35"/>
        <v>-92.99444444444444</v>
      </c>
      <c r="L453" s="25">
        <f t="shared" si="36"/>
        <v>-126.59722222222223</v>
      </c>
      <c r="M453" s="73">
        <v>1</v>
      </c>
      <c r="N453" s="76" t="str">
        <f t="shared" si="32"/>
        <v>TERMINO FIJO</v>
      </c>
      <c r="O453" s="32">
        <v>124</v>
      </c>
      <c r="P453" s="32">
        <v>4</v>
      </c>
      <c r="Q453" s="29" t="s">
        <v>30</v>
      </c>
      <c r="R453" s="29">
        <v>18</v>
      </c>
      <c r="S453" s="59">
        <v>2</v>
      </c>
      <c r="T453" s="32">
        <v>6</v>
      </c>
    </row>
    <row r="454" spans="1:20">
      <c r="A454" s="25" t="s">
        <v>36</v>
      </c>
      <c r="B454" s="54" t="s">
        <v>856</v>
      </c>
      <c r="C454" s="25" t="s">
        <v>857</v>
      </c>
      <c r="D454" s="25" t="s">
        <v>61</v>
      </c>
      <c r="E454" s="25" t="s">
        <v>844</v>
      </c>
      <c r="F454" s="25"/>
      <c r="G454" s="26">
        <v>3707009.4514301317</v>
      </c>
      <c r="H454" s="27">
        <v>34974</v>
      </c>
      <c r="I454" s="39"/>
      <c r="J454" s="27">
        <v>24349</v>
      </c>
      <c r="K454" s="25">
        <f t="shared" si="35"/>
        <v>-66.666666666666671</v>
      </c>
      <c r="L454" s="25">
        <f t="shared" si="36"/>
        <v>-95.75555555555556</v>
      </c>
      <c r="M454" s="29">
        <v>2</v>
      </c>
      <c r="N454" s="76" t="str">
        <f t="shared" si="32"/>
        <v>TERMINO INDEFINIDO</v>
      </c>
      <c r="O454" s="32">
        <v>121</v>
      </c>
      <c r="P454" s="32">
        <v>4</v>
      </c>
      <c r="Q454" s="29" t="s">
        <v>35</v>
      </c>
      <c r="R454" s="29">
        <v>22</v>
      </c>
      <c r="S454" s="59">
        <v>2</v>
      </c>
      <c r="T454" s="32">
        <v>6</v>
      </c>
    </row>
    <row r="455" spans="1:20">
      <c r="A455" s="25" t="s">
        <v>36</v>
      </c>
      <c r="B455" s="25" t="s">
        <v>858</v>
      </c>
      <c r="C455" s="25" t="s">
        <v>859</v>
      </c>
      <c r="D455" s="25" t="s">
        <v>61</v>
      </c>
      <c r="E455" s="25" t="s">
        <v>844</v>
      </c>
      <c r="F455" s="25" t="s">
        <v>44</v>
      </c>
      <c r="G455" s="26">
        <v>3707009.4514301317</v>
      </c>
      <c r="H455" s="27">
        <v>34961</v>
      </c>
      <c r="I455" s="39"/>
      <c r="J455" s="27">
        <v>26409</v>
      </c>
      <c r="K455" s="25">
        <f t="shared" si="35"/>
        <v>-72.305555555555557</v>
      </c>
      <c r="L455" s="25">
        <f t="shared" si="36"/>
        <v>-95.719444444444449</v>
      </c>
      <c r="M455" s="29">
        <v>2</v>
      </c>
      <c r="N455" s="76" t="str">
        <f t="shared" si="32"/>
        <v>TERMINO INDEFINIDO</v>
      </c>
      <c r="O455" s="32">
        <v>124</v>
      </c>
      <c r="P455" s="32">
        <v>5</v>
      </c>
      <c r="Q455" s="29" t="s">
        <v>30</v>
      </c>
      <c r="R455" s="29">
        <v>22</v>
      </c>
      <c r="S455" s="59">
        <v>2</v>
      </c>
      <c r="T455" s="32">
        <v>6</v>
      </c>
    </row>
    <row r="456" spans="1:20">
      <c r="A456" s="36" t="s">
        <v>36</v>
      </c>
      <c r="B456" s="71">
        <v>15815012</v>
      </c>
      <c r="C456" s="36" t="s">
        <v>860</v>
      </c>
      <c r="D456" s="36" t="s">
        <v>38</v>
      </c>
      <c r="E456" s="36" t="s">
        <v>844</v>
      </c>
      <c r="F456" s="36" t="s">
        <v>630</v>
      </c>
      <c r="G456" s="37">
        <v>3707009.4514301317</v>
      </c>
      <c r="H456" s="38">
        <v>37655</v>
      </c>
      <c r="I456" s="39"/>
      <c r="J456" s="38">
        <v>28111</v>
      </c>
      <c r="K456" s="36">
        <f t="shared" si="35"/>
        <v>-76.963888888888889</v>
      </c>
      <c r="L456" s="36">
        <f t="shared" si="36"/>
        <v>-103.09166666666667</v>
      </c>
      <c r="M456" s="40" t="s">
        <v>34</v>
      </c>
      <c r="N456" s="41" t="str">
        <f t="shared" si="32"/>
        <v>TERMINO INDEFINIDO NUEVO</v>
      </c>
      <c r="O456" s="42">
        <v>142</v>
      </c>
      <c r="P456" s="42">
        <v>5</v>
      </c>
      <c r="Q456" s="35" t="s">
        <v>30</v>
      </c>
      <c r="R456" s="35">
        <v>22</v>
      </c>
      <c r="S456" s="94">
        <v>2</v>
      </c>
      <c r="T456" s="42">
        <v>6</v>
      </c>
    </row>
    <row r="457" spans="1:20">
      <c r="A457" s="36" t="s">
        <v>115</v>
      </c>
      <c r="B457" s="71">
        <v>34322883</v>
      </c>
      <c r="C457" s="36" t="s">
        <v>861</v>
      </c>
      <c r="D457" s="36" t="s">
        <v>117</v>
      </c>
      <c r="E457" s="36" t="s">
        <v>844</v>
      </c>
      <c r="F457" s="36"/>
      <c r="G457" s="37">
        <v>3283806.9603586649</v>
      </c>
      <c r="H457" s="38">
        <v>41130</v>
      </c>
      <c r="I457" s="39"/>
      <c r="J457" s="38">
        <v>30592</v>
      </c>
      <c r="K457" s="36">
        <f t="shared" si="35"/>
        <v>-83.75833333333334</v>
      </c>
      <c r="L457" s="36">
        <f t="shared" si="36"/>
        <v>-112.60833333333333</v>
      </c>
      <c r="M457" s="40" t="s">
        <v>34</v>
      </c>
      <c r="N457" s="41" t="str">
        <f t="shared" ref="N457:N520" si="37">IF(M457=3,"SALARIO INTEGRAL",IF(M457=2,"TERMINO INDEFINIDO",IF(M457=1,"TERMINO FIJO",IF(M457="2_N","TERMINO INDEFINIDO NUEVO","OTRO"))))</f>
        <v>TERMINO INDEFINIDO NUEVO</v>
      </c>
      <c r="O457" s="42">
        <v>122</v>
      </c>
      <c r="P457" s="42">
        <v>5</v>
      </c>
      <c r="Q457" s="35" t="s">
        <v>35</v>
      </c>
      <c r="R457" s="35">
        <v>22</v>
      </c>
      <c r="S457" s="94">
        <v>3</v>
      </c>
      <c r="T457" s="42">
        <v>6</v>
      </c>
    </row>
    <row r="458" spans="1:20">
      <c r="A458" s="25" t="s">
        <v>124</v>
      </c>
      <c r="B458" s="54">
        <v>1085664065</v>
      </c>
      <c r="C458" s="180" t="s">
        <v>862</v>
      </c>
      <c r="D458" s="25" t="s">
        <v>132</v>
      </c>
      <c r="E458" s="25" t="s">
        <v>844</v>
      </c>
      <c r="F458" s="25" t="s">
        <v>863</v>
      </c>
      <c r="G458" s="26">
        <v>2802739.1336794067</v>
      </c>
      <c r="H458" s="27">
        <v>46054</v>
      </c>
      <c r="I458" s="28">
        <v>46295</v>
      </c>
      <c r="J458" s="27">
        <v>36409</v>
      </c>
      <c r="K458" s="25">
        <f t="shared" si="35"/>
        <v>-99.683333333333337</v>
      </c>
      <c r="L458" s="25">
        <f t="shared" si="36"/>
        <v>-126.08611111111111</v>
      </c>
      <c r="M458" s="73">
        <v>1</v>
      </c>
      <c r="N458" s="76" t="str">
        <f t="shared" si="37"/>
        <v>TERMINO FIJO</v>
      </c>
      <c r="O458" s="32">
        <v>124</v>
      </c>
      <c r="P458" s="32">
        <v>5</v>
      </c>
      <c r="Q458" s="29" t="s">
        <v>30</v>
      </c>
      <c r="R458" s="29">
        <v>22</v>
      </c>
      <c r="S458" s="59">
        <v>5</v>
      </c>
      <c r="T458" s="32">
        <v>6</v>
      </c>
    </row>
    <row r="459" spans="1:20">
      <c r="A459" s="25" t="s">
        <v>149</v>
      </c>
      <c r="B459" s="54">
        <v>5340644</v>
      </c>
      <c r="C459" s="25" t="s">
        <v>864</v>
      </c>
      <c r="D459" s="25" t="s">
        <v>151</v>
      </c>
      <c r="E459" s="25" t="s">
        <v>844</v>
      </c>
      <c r="F459" s="25"/>
      <c r="G459" s="26">
        <v>3415094.5981706623</v>
      </c>
      <c r="H459" s="81">
        <v>46220</v>
      </c>
      <c r="I459" s="82">
        <v>46295</v>
      </c>
      <c r="J459" s="27">
        <v>29908</v>
      </c>
      <c r="K459" s="25">
        <f t="shared" si="35"/>
        <v>-81.88333333333334</v>
      </c>
      <c r="L459" s="25">
        <f t="shared" si="36"/>
        <v>-126.54722222222222</v>
      </c>
      <c r="M459" s="29">
        <v>1</v>
      </c>
      <c r="N459" s="76" t="str">
        <f t="shared" si="37"/>
        <v>TERMINO FIJO</v>
      </c>
      <c r="O459" s="32">
        <v>122</v>
      </c>
      <c r="P459" s="32">
        <v>5</v>
      </c>
      <c r="Q459" s="29" t="s">
        <v>30</v>
      </c>
      <c r="R459" s="29">
        <v>22</v>
      </c>
      <c r="S459" s="59">
        <v>5</v>
      </c>
      <c r="T459" s="32">
        <v>6</v>
      </c>
    </row>
    <row r="460" spans="1:20">
      <c r="A460" s="25" t="s">
        <v>511</v>
      </c>
      <c r="B460" s="54">
        <v>5230432</v>
      </c>
      <c r="C460" s="25" t="s">
        <v>865</v>
      </c>
      <c r="D460" s="25" t="s">
        <v>650</v>
      </c>
      <c r="E460" s="25" t="s">
        <v>866</v>
      </c>
      <c r="F460" s="25"/>
      <c r="G460" s="26">
        <v>2802739.1336794067</v>
      </c>
      <c r="H460" s="27">
        <v>33500</v>
      </c>
      <c r="I460" s="39"/>
      <c r="J460" s="27">
        <v>24106</v>
      </c>
      <c r="K460" s="25">
        <f t="shared" si="35"/>
        <v>-66</v>
      </c>
      <c r="L460" s="25">
        <f t="shared" si="36"/>
        <v>-91.719444444444449</v>
      </c>
      <c r="M460" s="29">
        <v>2</v>
      </c>
      <c r="N460" s="76" t="str">
        <f t="shared" si="37"/>
        <v>TERMINO INDEFINIDO</v>
      </c>
      <c r="O460" s="32">
        <v>127</v>
      </c>
      <c r="P460" s="32">
        <v>5</v>
      </c>
      <c r="Q460" s="29" t="s">
        <v>30</v>
      </c>
      <c r="R460" s="29">
        <v>18</v>
      </c>
      <c r="S460" s="59">
        <v>3</v>
      </c>
      <c r="T460" s="32">
        <v>5</v>
      </c>
    </row>
    <row r="461" spans="1:20">
      <c r="A461" s="25" t="s">
        <v>511</v>
      </c>
      <c r="B461" s="25" t="s">
        <v>867</v>
      </c>
      <c r="C461" s="25" t="s">
        <v>868</v>
      </c>
      <c r="D461" s="25" t="s">
        <v>650</v>
      </c>
      <c r="E461" s="25" t="s">
        <v>869</v>
      </c>
      <c r="F461" s="25"/>
      <c r="G461" s="26">
        <v>2802739.1336794067</v>
      </c>
      <c r="H461" s="27">
        <v>36983</v>
      </c>
      <c r="I461" s="39"/>
      <c r="J461" s="27">
        <v>25084</v>
      </c>
      <c r="K461" s="25">
        <f t="shared" si="35"/>
        <v>-68.674999999999997</v>
      </c>
      <c r="L461" s="25">
        <f t="shared" si="36"/>
        <v>-101.25555555555556</v>
      </c>
      <c r="M461" s="29">
        <v>2</v>
      </c>
      <c r="N461" s="76" t="str">
        <f t="shared" si="37"/>
        <v>TERMINO INDEFINIDO</v>
      </c>
      <c r="O461" s="32">
        <v>127</v>
      </c>
      <c r="P461" s="32">
        <v>5</v>
      </c>
      <c r="Q461" s="29" t="s">
        <v>30</v>
      </c>
      <c r="R461" s="29">
        <v>18</v>
      </c>
      <c r="S461" s="59">
        <v>3</v>
      </c>
      <c r="T461" s="32">
        <v>5</v>
      </c>
    </row>
    <row r="462" spans="1:20">
      <c r="A462" s="44" t="s">
        <v>511</v>
      </c>
      <c r="B462" s="50">
        <v>1085661577</v>
      </c>
      <c r="C462" s="51" t="s">
        <v>870</v>
      </c>
      <c r="D462" s="44" t="s">
        <v>650</v>
      </c>
      <c r="E462" s="25" t="s">
        <v>871</v>
      </c>
      <c r="F462" s="25"/>
      <c r="G462" s="46">
        <v>2802739.1336794067</v>
      </c>
      <c r="H462" s="47">
        <v>45170</v>
      </c>
      <c r="I462" s="47"/>
      <c r="J462" s="47">
        <v>33300</v>
      </c>
      <c r="K462" s="44">
        <f t="shared" si="35"/>
        <v>-91.174999999999997</v>
      </c>
      <c r="L462" s="44">
        <f t="shared" si="36"/>
        <v>-123.66944444444445</v>
      </c>
      <c r="M462" s="49" t="s">
        <v>34</v>
      </c>
      <c r="N462" s="106" t="str">
        <f t="shared" si="37"/>
        <v>TERMINO INDEFINIDO NUEVO</v>
      </c>
      <c r="O462" s="53">
        <v>127</v>
      </c>
      <c r="P462" s="53">
        <v>5</v>
      </c>
      <c r="Q462" s="51" t="s">
        <v>30</v>
      </c>
      <c r="R462" s="51">
        <v>18</v>
      </c>
      <c r="S462" s="97">
        <v>3</v>
      </c>
      <c r="T462" s="53">
        <v>5</v>
      </c>
    </row>
    <row r="463" spans="1:20">
      <c r="A463" s="25" t="s">
        <v>409</v>
      </c>
      <c r="B463" s="25" t="s">
        <v>872</v>
      </c>
      <c r="C463" s="25" t="s">
        <v>873</v>
      </c>
      <c r="D463" s="25" t="s">
        <v>689</v>
      </c>
      <c r="E463" s="25" t="s">
        <v>874</v>
      </c>
      <c r="F463" s="25"/>
      <c r="G463" s="26">
        <v>3231586.9520465797</v>
      </c>
      <c r="H463" s="27">
        <v>36452</v>
      </c>
      <c r="I463" s="39"/>
      <c r="J463" s="27">
        <v>25070</v>
      </c>
      <c r="K463" s="25">
        <f t="shared" si="35"/>
        <v>-68.638888888888886</v>
      </c>
      <c r="L463" s="25">
        <f t="shared" si="36"/>
        <v>-99.802777777777777</v>
      </c>
      <c r="M463" s="29">
        <v>2</v>
      </c>
      <c r="N463" s="76" t="str">
        <f t="shared" si="37"/>
        <v>TERMINO INDEFINIDO</v>
      </c>
      <c r="O463" s="32">
        <v>123</v>
      </c>
      <c r="P463" s="32">
        <v>3</v>
      </c>
      <c r="Q463" s="29" t="s">
        <v>30</v>
      </c>
      <c r="R463" s="29">
        <v>18</v>
      </c>
      <c r="S463" s="59">
        <v>3</v>
      </c>
      <c r="T463" s="32">
        <v>5</v>
      </c>
    </row>
    <row r="464" spans="1:20">
      <c r="A464" s="25" t="s">
        <v>409</v>
      </c>
      <c r="B464" s="25" t="s">
        <v>875</v>
      </c>
      <c r="C464" s="25" t="s">
        <v>876</v>
      </c>
      <c r="D464" s="25" t="s">
        <v>689</v>
      </c>
      <c r="E464" s="25" t="s">
        <v>844</v>
      </c>
      <c r="F464" s="25" t="s">
        <v>800</v>
      </c>
      <c r="G464" s="26">
        <v>3231586.9520465797</v>
      </c>
      <c r="H464" s="27">
        <v>35704</v>
      </c>
      <c r="I464" s="39"/>
      <c r="J464" s="27">
        <v>22885</v>
      </c>
      <c r="K464" s="25">
        <f t="shared" si="35"/>
        <v>-62.658333333333331</v>
      </c>
      <c r="L464" s="25">
        <f t="shared" si="36"/>
        <v>-97.75277777777778</v>
      </c>
      <c r="M464" s="29">
        <v>2</v>
      </c>
      <c r="N464" s="76" t="str">
        <f t="shared" si="37"/>
        <v>TERMINO INDEFINIDO</v>
      </c>
      <c r="O464" s="32">
        <v>122</v>
      </c>
      <c r="P464" s="32">
        <v>5</v>
      </c>
      <c r="Q464" s="29" t="s">
        <v>30</v>
      </c>
      <c r="R464" s="29">
        <v>18</v>
      </c>
      <c r="S464" s="59">
        <v>3</v>
      </c>
      <c r="T464" s="32">
        <v>5</v>
      </c>
    </row>
    <row r="465" spans="1:20">
      <c r="A465" s="104" t="s">
        <v>56</v>
      </c>
      <c r="B465" s="61">
        <v>16453399</v>
      </c>
      <c r="C465" s="62" t="s">
        <v>877</v>
      </c>
      <c r="D465" s="62" t="s">
        <v>275</v>
      </c>
      <c r="E465" s="62" t="s">
        <v>844</v>
      </c>
      <c r="F465" s="62" t="s">
        <v>878</v>
      </c>
      <c r="G465" s="63">
        <v>3231587.61</v>
      </c>
      <c r="H465" s="64">
        <v>43118</v>
      </c>
      <c r="I465" s="65"/>
      <c r="J465" s="64">
        <v>29663</v>
      </c>
      <c r="K465" s="62">
        <f>(DAYS360(J465,$K$1))/360</f>
        <v>-81.216666666666669</v>
      </c>
      <c r="L465" s="62">
        <f>(DAYS360(H465,$K$1))/360</f>
        <v>-118.05</v>
      </c>
      <c r="M465" s="66" t="s">
        <v>34</v>
      </c>
      <c r="N465" s="67" t="str">
        <f t="shared" si="37"/>
        <v>TERMINO INDEFINIDO NUEVO</v>
      </c>
      <c r="O465" s="68">
        <v>123</v>
      </c>
      <c r="P465" s="68">
        <v>5</v>
      </c>
      <c r="Q465" s="69" t="s">
        <v>30</v>
      </c>
      <c r="R465" s="69">
        <v>18</v>
      </c>
      <c r="S465" s="70">
        <v>3</v>
      </c>
      <c r="T465" s="68">
        <v>5</v>
      </c>
    </row>
    <row r="466" spans="1:20">
      <c r="A466" s="25" t="s">
        <v>453</v>
      </c>
      <c r="B466" s="25" t="s">
        <v>879</v>
      </c>
      <c r="C466" s="25" t="s">
        <v>880</v>
      </c>
      <c r="D466" s="25" t="s">
        <v>454</v>
      </c>
      <c r="E466" s="25" t="s">
        <v>844</v>
      </c>
      <c r="F466" s="25"/>
      <c r="G466" s="26">
        <v>2786076.361180109</v>
      </c>
      <c r="H466" s="27">
        <v>32066</v>
      </c>
      <c r="I466" s="39"/>
      <c r="J466" s="27">
        <v>22873</v>
      </c>
      <c r="K466" s="25">
        <f t="shared" si="35"/>
        <v>-62.625</v>
      </c>
      <c r="L466" s="25">
        <f t="shared" si="36"/>
        <v>-87.794444444444451</v>
      </c>
      <c r="M466" s="29">
        <v>2</v>
      </c>
      <c r="N466" s="76" t="str">
        <f t="shared" si="37"/>
        <v>TERMINO INDEFINIDO</v>
      </c>
      <c r="O466" s="32">
        <v>122</v>
      </c>
      <c r="P466" s="32">
        <v>5</v>
      </c>
      <c r="Q466" s="29" t="s">
        <v>30</v>
      </c>
      <c r="R466" s="29">
        <v>18</v>
      </c>
      <c r="S466" s="59">
        <v>3</v>
      </c>
      <c r="T466" s="32">
        <v>5</v>
      </c>
    </row>
    <row r="467" spans="1:20">
      <c r="A467" s="36" t="s">
        <v>453</v>
      </c>
      <c r="B467" s="71">
        <v>98339039</v>
      </c>
      <c r="C467" s="36" t="s">
        <v>881</v>
      </c>
      <c r="D467" s="36" t="s">
        <v>454</v>
      </c>
      <c r="E467" s="36" t="s">
        <v>844</v>
      </c>
      <c r="F467" s="36" t="s">
        <v>878</v>
      </c>
      <c r="G467" s="37">
        <v>3120220</v>
      </c>
      <c r="H467" s="38">
        <v>38908</v>
      </c>
      <c r="I467" s="39"/>
      <c r="J467" s="38">
        <v>29388</v>
      </c>
      <c r="K467" s="36">
        <f t="shared" si="35"/>
        <v>-80.461111111111109</v>
      </c>
      <c r="L467" s="36">
        <f t="shared" si="36"/>
        <v>-106.52777777777777</v>
      </c>
      <c r="M467" s="40" t="s">
        <v>34</v>
      </c>
      <c r="N467" s="41" t="str">
        <f t="shared" si="37"/>
        <v>TERMINO INDEFINIDO NUEVO</v>
      </c>
      <c r="O467" s="42">
        <v>124</v>
      </c>
      <c r="P467" s="42">
        <v>5</v>
      </c>
      <c r="Q467" s="35" t="s">
        <v>30</v>
      </c>
      <c r="R467" s="35">
        <v>18</v>
      </c>
      <c r="S467" s="94">
        <v>3</v>
      </c>
      <c r="T467" s="42">
        <v>5</v>
      </c>
    </row>
    <row r="468" spans="1:20">
      <c r="A468" s="36" t="s">
        <v>453</v>
      </c>
      <c r="B468" s="71">
        <v>1085660082</v>
      </c>
      <c r="C468" s="36" t="s">
        <v>882</v>
      </c>
      <c r="D468" s="36" t="s">
        <v>454</v>
      </c>
      <c r="E468" s="36" t="s">
        <v>844</v>
      </c>
      <c r="F468" s="36" t="s">
        <v>878</v>
      </c>
      <c r="G468" s="37">
        <v>2786076.361180109</v>
      </c>
      <c r="H468" s="38">
        <v>38838</v>
      </c>
      <c r="I468" s="39"/>
      <c r="J468" s="38">
        <v>31392</v>
      </c>
      <c r="K468" s="36">
        <f t="shared" si="35"/>
        <v>-85.947222222222223</v>
      </c>
      <c r="L468" s="36">
        <f t="shared" si="36"/>
        <v>-106.33611111111111</v>
      </c>
      <c r="M468" s="40" t="s">
        <v>34</v>
      </c>
      <c r="N468" s="41" t="str">
        <f t="shared" si="37"/>
        <v>TERMINO INDEFINIDO NUEVO</v>
      </c>
      <c r="O468" s="42">
        <v>124</v>
      </c>
      <c r="P468" s="42">
        <v>4</v>
      </c>
      <c r="Q468" s="35" t="s">
        <v>30</v>
      </c>
      <c r="R468" s="35">
        <v>18</v>
      </c>
      <c r="S468" s="94">
        <v>3</v>
      </c>
      <c r="T468" s="42">
        <v>5</v>
      </c>
    </row>
    <row r="469" spans="1:20">
      <c r="A469" s="25" t="s">
        <v>453</v>
      </c>
      <c r="B469" s="25" t="s">
        <v>883</v>
      </c>
      <c r="C469" s="25" t="s">
        <v>884</v>
      </c>
      <c r="D469" s="25" t="s">
        <v>454</v>
      </c>
      <c r="E469" s="25" t="s">
        <v>844</v>
      </c>
      <c r="F469" s="25"/>
      <c r="G469" s="26">
        <v>2786076.361180109</v>
      </c>
      <c r="H469" s="27">
        <v>36168</v>
      </c>
      <c r="I469" s="39"/>
      <c r="J469" s="27">
        <v>25968</v>
      </c>
      <c r="K469" s="25">
        <f t="shared" si="35"/>
        <v>-71.094444444444449</v>
      </c>
      <c r="L469" s="25">
        <f t="shared" si="36"/>
        <v>-99.022222222222226</v>
      </c>
      <c r="M469" s="29">
        <v>2</v>
      </c>
      <c r="N469" s="76" t="str">
        <f t="shared" si="37"/>
        <v>TERMINO INDEFINIDO</v>
      </c>
      <c r="O469" s="32">
        <v>124</v>
      </c>
      <c r="P469" s="32">
        <v>1</v>
      </c>
      <c r="Q469" s="29" t="s">
        <v>30</v>
      </c>
      <c r="R469" s="29">
        <v>18</v>
      </c>
      <c r="S469" s="59">
        <v>3</v>
      </c>
      <c r="T469" s="32">
        <v>5</v>
      </c>
    </row>
    <row r="470" spans="1:20">
      <c r="A470" s="25" t="s">
        <v>750</v>
      </c>
      <c r="B470" s="25" t="s">
        <v>885</v>
      </c>
      <c r="C470" s="25" t="s">
        <v>886</v>
      </c>
      <c r="D470" s="25" t="s">
        <v>752</v>
      </c>
      <c r="E470" s="25" t="s">
        <v>844</v>
      </c>
      <c r="F470" s="25"/>
      <c r="G470" s="26">
        <v>3070816.4171199645</v>
      </c>
      <c r="H470" s="27">
        <v>35683</v>
      </c>
      <c r="I470" s="39"/>
      <c r="J470" s="27">
        <v>24761</v>
      </c>
      <c r="K470" s="25">
        <f t="shared" si="35"/>
        <v>-67.794444444444451</v>
      </c>
      <c r="L470" s="25">
        <f t="shared" si="36"/>
        <v>-97.694444444444443</v>
      </c>
      <c r="M470" s="29">
        <v>2</v>
      </c>
      <c r="N470" s="76" t="str">
        <f t="shared" si="37"/>
        <v>TERMINO INDEFINIDO</v>
      </c>
      <c r="O470" s="32">
        <v>124</v>
      </c>
      <c r="P470" s="32">
        <v>1</v>
      </c>
      <c r="Q470" s="29" t="s">
        <v>30</v>
      </c>
      <c r="R470" s="29">
        <v>18</v>
      </c>
      <c r="S470" s="59">
        <v>2</v>
      </c>
      <c r="T470" s="32">
        <v>7</v>
      </c>
    </row>
    <row r="471" spans="1:20">
      <c r="A471" s="25" t="s">
        <v>750</v>
      </c>
      <c r="B471" s="25" t="s">
        <v>887</v>
      </c>
      <c r="C471" s="25" t="s">
        <v>888</v>
      </c>
      <c r="D471" s="25" t="s">
        <v>889</v>
      </c>
      <c r="E471" s="25" t="s">
        <v>844</v>
      </c>
      <c r="F471" s="25"/>
      <c r="G471" s="26">
        <v>3354270.6337764291</v>
      </c>
      <c r="H471" s="27">
        <v>33162</v>
      </c>
      <c r="I471" s="39"/>
      <c r="J471" s="27">
        <v>23797</v>
      </c>
      <c r="K471" s="25">
        <f t="shared" si="35"/>
        <v>-65.150000000000006</v>
      </c>
      <c r="L471" s="25">
        <f t="shared" si="36"/>
        <v>-90.794444444444451</v>
      </c>
      <c r="M471" s="29">
        <v>2</v>
      </c>
      <c r="N471" s="76" t="str">
        <f t="shared" si="37"/>
        <v>TERMINO INDEFINIDO</v>
      </c>
      <c r="O471" s="32">
        <v>124</v>
      </c>
      <c r="P471" s="32">
        <v>1</v>
      </c>
      <c r="Q471" s="29" t="s">
        <v>30</v>
      </c>
      <c r="R471" s="29">
        <v>18</v>
      </c>
      <c r="S471" s="59">
        <v>3</v>
      </c>
      <c r="T471" s="32">
        <v>7</v>
      </c>
    </row>
    <row r="472" spans="1:20">
      <c r="A472" s="25" t="s">
        <v>750</v>
      </c>
      <c r="B472" s="25" t="s">
        <v>890</v>
      </c>
      <c r="C472" s="25" t="s">
        <v>891</v>
      </c>
      <c r="D472" s="25" t="s">
        <v>889</v>
      </c>
      <c r="E472" s="25" t="s">
        <v>844</v>
      </c>
      <c r="F472" s="25"/>
      <c r="G472" s="26">
        <v>3354270.6337764291</v>
      </c>
      <c r="H472" s="27">
        <v>33770</v>
      </c>
      <c r="I472" s="39"/>
      <c r="J472" s="27">
        <v>26030</v>
      </c>
      <c r="K472" s="25">
        <f t="shared" si="35"/>
        <v>-71.269444444444446</v>
      </c>
      <c r="L472" s="25">
        <f t="shared" si="36"/>
        <v>-92.458333333333329</v>
      </c>
      <c r="M472" s="29">
        <v>2</v>
      </c>
      <c r="N472" s="76" t="str">
        <f t="shared" si="37"/>
        <v>TERMINO INDEFINIDO</v>
      </c>
      <c r="O472" s="32">
        <v>124</v>
      </c>
      <c r="P472" s="32">
        <v>1</v>
      </c>
      <c r="Q472" s="29" t="s">
        <v>30</v>
      </c>
      <c r="R472" s="29">
        <v>18</v>
      </c>
      <c r="S472" s="59">
        <v>3</v>
      </c>
      <c r="T472" s="32">
        <v>7</v>
      </c>
    </row>
    <row r="473" spans="1:20">
      <c r="A473" s="36" t="s">
        <v>750</v>
      </c>
      <c r="B473" s="71">
        <v>87248885</v>
      </c>
      <c r="C473" s="36" t="s">
        <v>892</v>
      </c>
      <c r="D473" s="36" t="s">
        <v>889</v>
      </c>
      <c r="E473" s="36" t="s">
        <v>844</v>
      </c>
      <c r="F473" s="36" t="s">
        <v>81</v>
      </c>
      <c r="G473" s="37">
        <v>3354270.6337764291</v>
      </c>
      <c r="H473" s="38">
        <v>38534</v>
      </c>
      <c r="I473" s="39"/>
      <c r="J473" s="38">
        <v>30291</v>
      </c>
      <c r="K473" s="36">
        <f t="shared" si="35"/>
        <v>-82.933333333333337</v>
      </c>
      <c r="L473" s="36">
        <f t="shared" si="36"/>
        <v>-105.50277777777778</v>
      </c>
      <c r="M473" s="40" t="s">
        <v>34</v>
      </c>
      <c r="N473" s="41" t="str">
        <f t="shared" si="37"/>
        <v>TERMINO INDEFINIDO NUEVO</v>
      </c>
      <c r="O473" s="42">
        <v>124</v>
      </c>
      <c r="P473" s="42">
        <v>3</v>
      </c>
      <c r="Q473" s="35" t="s">
        <v>30</v>
      </c>
      <c r="R473" s="35">
        <v>18</v>
      </c>
      <c r="S473" s="94">
        <v>3</v>
      </c>
      <c r="T473" s="42">
        <v>5</v>
      </c>
    </row>
    <row r="474" spans="1:20">
      <c r="A474" s="36" t="s">
        <v>750</v>
      </c>
      <c r="B474" s="71">
        <v>1085660403</v>
      </c>
      <c r="C474" s="36" t="s">
        <v>893</v>
      </c>
      <c r="D474" s="36" t="s">
        <v>894</v>
      </c>
      <c r="E474" s="36" t="s">
        <v>844</v>
      </c>
      <c r="F474" s="36" t="s">
        <v>44</v>
      </c>
      <c r="G474" s="37">
        <v>3354270.27</v>
      </c>
      <c r="H474" s="38">
        <v>41673</v>
      </c>
      <c r="I474" s="39"/>
      <c r="J474" s="38">
        <v>31949</v>
      </c>
      <c r="K474" s="36">
        <f>(DAYS360(J474,$K$1))/360</f>
        <v>-87.474999999999994</v>
      </c>
      <c r="L474" s="36">
        <f>(DAYS360(H474,$K$1))/360</f>
        <v>-114.09166666666667</v>
      </c>
      <c r="M474" s="40" t="s">
        <v>34</v>
      </c>
      <c r="N474" s="41" t="str">
        <f t="shared" si="37"/>
        <v>TERMINO INDEFINIDO NUEVO</v>
      </c>
      <c r="O474" s="42">
        <v>124</v>
      </c>
      <c r="P474" s="42">
        <v>4</v>
      </c>
      <c r="Q474" s="35" t="s">
        <v>30</v>
      </c>
      <c r="R474" s="35">
        <v>18</v>
      </c>
      <c r="S474" s="94">
        <v>3</v>
      </c>
      <c r="T474" s="42">
        <v>6</v>
      </c>
    </row>
    <row r="475" spans="1:20">
      <c r="A475" s="25" t="s">
        <v>750</v>
      </c>
      <c r="B475" s="25" t="s">
        <v>895</v>
      </c>
      <c r="C475" s="25" t="s">
        <v>896</v>
      </c>
      <c r="D475" s="25" t="s">
        <v>752</v>
      </c>
      <c r="E475" s="25" t="s">
        <v>844</v>
      </c>
      <c r="F475" s="25"/>
      <c r="G475" s="26">
        <v>3070816.4171199645</v>
      </c>
      <c r="H475" s="27">
        <v>33162</v>
      </c>
      <c r="I475" s="39"/>
      <c r="J475" s="27">
        <v>24665</v>
      </c>
      <c r="K475" s="25">
        <f t="shared" si="35"/>
        <v>-67.533333333333331</v>
      </c>
      <c r="L475" s="25">
        <f t="shared" si="36"/>
        <v>-90.794444444444451</v>
      </c>
      <c r="M475" s="29">
        <v>2</v>
      </c>
      <c r="N475" s="76" t="str">
        <f t="shared" si="37"/>
        <v>TERMINO INDEFINIDO</v>
      </c>
      <c r="O475" s="32">
        <v>124</v>
      </c>
      <c r="P475" s="32">
        <v>1</v>
      </c>
      <c r="Q475" s="29" t="s">
        <v>30</v>
      </c>
      <c r="R475" s="29">
        <v>18</v>
      </c>
      <c r="S475" s="59">
        <v>3</v>
      </c>
      <c r="T475" s="32">
        <v>7</v>
      </c>
    </row>
    <row r="476" spans="1:20">
      <c r="A476" s="36" t="s">
        <v>750</v>
      </c>
      <c r="B476" s="71">
        <v>98323717</v>
      </c>
      <c r="C476" s="36" t="s">
        <v>897</v>
      </c>
      <c r="D476" s="36" t="s">
        <v>752</v>
      </c>
      <c r="E476" s="36" t="s">
        <v>844</v>
      </c>
      <c r="F476" s="36" t="s">
        <v>495</v>
      </c>
      <c r="G476" s="37">
        <v>3070816.4171199645</v>
      </c>
      <c r="H476" s="38">
        <v>42768</v>
      </c>
      <c r="I476" s="39"/>
      <c r="J476" s="38">
        <v>28772</v>
      </c>
      <c r="K476" s="36">
        <f t="shared" si="35"/>
        <v>-78.775000000000006</v>
      </c>
      <c r="L476" s="36">
        <f t="shared" si="36"/>
        <v>-117.08888888888889</v>
      </c>
      <c r="M476" s="40" t="s">
        <v>34</v>
      </c>
      <c r="N476" s="41" t="str">
        <f t="shared" si="37"/>
        <v>TERMINO INDEFINIDO NUEVO</v>
      </c>
      <c r="O476" s="42">
        <v>124</v>
      </c>
      <c r="P476" s="42">
        <v>5</v>
      </c>
      <c r="Q476" s="35" t="s">
        <v>30</v>
      </c>
      <c r="R476" s="35">
        <v>18</v>
      </c>
      <c r="S476" s="94">
        <v>3</v>
      </c>
      <c r="T476" s="42">
        <v>7</v>
      </c>
    </row>
    <row r="477" spans="1:20">
      <c r="A477" s="25" t="s">
        <v>750</v>
      </c>
      <c r="B477" s="54" t="s">
        <v>898</v>
      </c>
      <c r="C477" s="25" t="s">
        <v>899</v>
      </c>
      <c r="D477" s="25" t="s">
        <v>752</v>
      </c>
      <c r="E477" s="25" t="s">
        <v>844</v>
      </c>
      <c r="F477" s="25"/>
      <c r="G477" s="26">
        <v>3070816.4171199645</v>
      </c>
      <c r="H477" s="27">
        <v>32832</v>
      </c>
      <c r="I477" s="39"/>
      <c r="J477" s="27">
        <v>24850</v>
      </c>
      <c r="K477" s="25">
        <f t="shared" si="35"/>
        <v>-68.036111111111111</v>
      </c>
      <c r="L477" s="25">
        <f t="shared" si="36"/>
        <v>-89.888888888888886</v>
      </c>
      <c r="M477" s="29">
        <v>2</v>
      </c>
      <c r="N477" s="76" t="str">
        <f t="shared" si="37"/>
        <v>TERMINO INDEFINIDO</v>
      </c>
      <c r="O477" s="32">
        <v>123</v>
      </c>
      <c r="P477" s="32">
        <v>3</v>
      </c>
      <c r="Q477" s="29" t="s">
        <v>30</v>
      </c>
      <c r="R477" s="29">
        <v>18</v>
      </c>
      <c r="S477" s="59">
        <v>3</v>
      </c>
      <c r="T477" s="32">
        <v>7</v>
      </c>
    </row>
    <row r="478" spans="1:20">
      <c r="A478" s="36" t="s">
        <v>750</v>
      </c>
      <c r="B478" s="71">
        <v>98322656</v>
      </c>
      <c r="C478" s="36" t="s">
        <v>900</v>
      </c>
      <c r="D478" s="36" t="s">
        <v>752</v>
      </c>
      <c r="E478" s="36" t="s">
        <v>844</v>
      </c>
      <c r="F478" s="36"/>
      <c r="G478" s="37">
        <v>3070816.4171199645</v>
      </c>
      <c r="H478" s="38">
        <v>40165</v>
      </c>
      <c r="I478" s="39"/>
      <c r="J478" s="38">
        <v>24925</v>
      </c>
      <c r="K478" s="36">
        <f t="shared" si="35"/>
        <v>-68.24444444444444</v>
      </c>
      <c r="L478" s="36">
        <f t="shared" si="36"/>
        <v>-109.96666666666667</v>
      </c>
      <c r="M478" s="40" t="s">
        <v>34</v>
      </c>
      <c r="N478" s="41" t="str">
        <f t="shared" si="37"/>
        <v>TERMINO INDEFINIDO NUEVO</v>
      </c>
      <c r="O478" s="42">
        <v>124</v>
      </c>
      <c r="P478" s="42">
        <v>1</v>
      </c>
      <c r="Q478" s="35" t="s">
        <v>30</v>
      </c>
      <c r="R478" s="35">
        <v>18</v>
      </c>
      <c r="S478" s="94">
        <v>2</v>
      </c>
      <c r="T478" s="42">
        <v>7</v>
      </c>
    </row>
    <row r="479" spans="1:20">
      <c r="A479" s="25" t="s">
        <v>331</v>
      </c>
      <c r="B479" s="54">
        <v>5340459</v>
      </c>
      <c r="C479" s="25" t="s">
        <v>901</v>
      </c>
      <c r="D479" s="25" t="s">
        <v>353</v>
      </c>
      <c r="E479" s="25" t="s">
        <v>844</v>
      </c>
      <c r="F479" s="25"/>
      <c r="G479" s="26">
        <v>3120218.4554910217</v>
      </c>
      <c r="H479" s="27">
        <v>46220</v>
      </c>
      <c r="I479" s="28">
        <v>46295</v>
      </c>
      <c r="J479" s="27">
        <v>29076</v>
      </c>
      <c r="K479" s="25">
        <f t="shared" si="35"/>
        <v>-79.608333333333334</v>
      </c>
      <c r="L479" s="25">
        <f t="shared" si="36"/>
        <v>-126.54722222222222</v>
      </c>
      <c r="M479" s="73">
        <v>1</v>
      </c>
      <c r="N479" s="76" t="str">
        <f t="shared" si="37"/>
        <v>TERMINO FIJO</v>
      </c>
      <c r="O479" s="32">
        <v>123</v>
      </c>
      <c r="P479" s="32">
        <v>3</v>
      </c>
      <c r="Q479" s="29" t="s">
        <v>30</v>
      </c>
      <c r="R479" s="29">
        <v>18</v>
      </c>
      <c r="S479" s="59">
        <v>3</v>
      </c>
      <c r="T479" s="32">
        <v>5</v>
      </c>
    </row>
    <row r="480" spans="1:20">
      <c r="A480" s="36" t="s">
        <v>331</v>
      </c>
      <c r="B480" s="34">
        <v>87432483</v>
      </c>
      <c r="C480" s="35" t="s">
        <v>902</v>
      </c>
      <c r="D480" s="36" t="s">
        <v>353</v>
      </c>
      <c r="E480" s="36" t="s">
        <v>844</v>
      </c>
      <c r="F480" s="36"/>
      <c r="G480" s="37">
        <v>3120218.4554910217</v>
      </c>
      <c r="H480" s="38">
        <v>41673</v>
      </c>
      <c r="I480" s="39"/>
      <c r="J480" s="38">
        <v>26570</v>
      </c>
      <c r="K480" s="36">
        <f t="shared" si="35"/>
        <v>-72.74444444444444</v>
      </c>
      <c r="L480" s="36">
        <f t="shared" si="36"/>
        <v>-114.09166666666667</v>
      </c>
      <c r="M480" s="40" t="s">
        <v>34</v>
      </c>
      <c r="N480" s="41" t="str">
        <f t="shared" si="37"/>
        <v>TERMINO INDEFINIDO NUEVO</v>
      </c>
      <c r="O480" s="42">
        <v>123</v>
      </c>
      <c r="P480" s="42">
        <v>3</v>
      </c>
      <c r="Q480" s="35" t="s">
        <v>30</v>
      </c>
      <c r="R480" s="35">
        <v>18</v>
      </c>
      <c r="S480" s="94">
        <v>3</v>
      </c>
      <c r="T480" s="42">
        <v>5</v>
      </c>
    </row>
    <row r="481" spans="1:20">
      <c r="A481" s="62" t="s">
        <v>331</v>
      </c>
      <c r="B481" s="61">
        <v>5340619</v>
      </c>
      <c r="C481" s="62" t="s">
        <v>903</v>
      </c>
      <c r="D481" s="62" t="s">
        <v>333</v>
      </c>
      <c r="E481" s="62" t="s">
        <v>844</v>
      </c>
      <c r="F481" s="62"/>
      <c r="G481" s="63">
        <v>3120218.4554910217</v>
      </c>
      <c r="H481" s="64">
        <v>43118</v>
      </c>
      <c r="I481" s="65"/>
      <c r="J481" s="64">
        <v>29663</v>
      </c>
      <c r="K481" s="62">
        <f t="shared" si="35"/>
        <v>-81.216666666666669</v>
      </c>
      <c r="L481" s="62">
        <f t="shared" si="36"/>
        <v>-118.05</v>
      </c>
      <c r="M481" s="66" t="s">
        <v>34</v>
      </c>
      <c r="N481" s="67" t="str">
        <f t="shared" si="37"/>
        <v>TERMINO INDEFINIDO NUEVO</v>
      </c>
      <c r="O481" s="68">
        <v>123</v>
      </c>
      <c r="P481" s="68">
        <v>3</v>
      </c>
      <c r="Q481" s="69" t="s">
        <v>30</v>
      </c>
      <c r="R481" s="69">
        <v>18</v>
      </c>
      <c r="S481" s="70">
        <v>3</v>
      </c>
      <c r="T481" s="68">
        <v>5</v>
      </c>
    </row>
    <row r="482" spans="1:20">
      <c r="A482" s="36" t="s">
        <v>331</v>
      </c>
      <c r="B482" s="71">
        <v>98322696</v>
      </c>
      <c r="C482" s="36" t="s">
        <v>904</v>
      </c>
      <c r="D482" s="36" t="s">
        <v>353</v>
      </c>
      <c r="E482" s="36" t="s">
        <v>844</v>
      </c>
      <c r="F482" s="36"/>
      <c r="G482" s="37">
        <v>3120218.4554910217</v>
      </c>
      <c r="H482" s="38">
        <v>38337</v>
      </c>
      <c r="I482" s="39"/>
      <c r="J482" s="38">
        <v>24479</v>
      </c>
      <c r="K482" s="36">
        <f t="shared" si="35"/>
        <v>-67.019444444444446</v>
      </c>
      <c r="L482" s="36">
        <f t="shared" si="36"/>
        <v>-104.96111111111111</v>
      </c>
      <c r="M482" s="40" t="s">
        <v>34</v>
      </c>
      <c r="N482" s="41" t="str">
        <f t="shared" si="37"/>
        <v>TERMINO INDEFINIDO NUEVO</v>
      </c>
      <c r="O482" s="42">
        <v>123</v>
      </c>
      <c r="P482" s="42">
        <v>3</v>
      </c>
      <c r="Q482" s="35" t="s">
        <v>30</v>
      </c>
      <c r="R482" s="35">
        <v>18</v>
      </c>
      <c r="S482" s="94">
        <v>3</v>
      </c>
      <c r="T482" s="42">
        <v>5</v>
      </c>
    </row>
    <row r="483" spans="1:20">
      <c r="A483" s="24" t="s">
        <v>286</v>
      </c>
      <c r="B483" s="30">
        <v>1085660741</v>
      </c>
      <c r="C483" s="29" t="s">
        <v>905</v>
      </c>
      <c r="D483" s="25" t="s">
        <v>365</v>
      </c>
      <c r="E483" s="25" t="s">
        <v>844</v>
      </c>
      <c r="F483" s="25"/>
      <c r="G483" s="26">
        <v>2786825.0206787568</v>
      </c>
      <c r="H483" s="158">
        <v>45852</v>
      </c>
      <c r="I483" s="159">
        <v>46387</v>
      </c>
      <c r="J483" s="158">
        <v>32335</v>
      </c>
      <c r="K483" s="25">
        <f t="shared" si="35"/>
        <v>-88.530555555555551</v>
      </c>
      <c r="L483" s="25">
        <f t="shared" si="36"/>
        <v>-125.53888888888889</v>
      </c>
      <c r="M483" s="73">
        <v>1</v>
      </c>
      <c r="N483" s="30" t="str">
        <f t="shared" si="37"/>
        <v>TERMINO FIJO</v>
      </c>
      <c r="O483" s="29">
        <v>123</v>
      </c>
      <c r="P483" s="32">
        <v>3</v>
      </c>
      <c r="Q483" s="29" t="s">
        <v>30</v>
      </c>
      <c r="R483" s="29">
        <v>18</v>
      </c>
      <c r="S483" s="59">
        <v>3</v>
      </c>
      <c r="T483" s="32">
        <v>5</v>
      </c>
    </row>
    <row r="484" spans="1:20">
      <c r="A484" s="25" t="s">
        <v>237</v>
      </c>
      <c r="B484" s="54">
        <v>98323523</v>
      </c>
      <c r="C484" s="25" t="s">
        <v>906</v>
      </c>
      <c r="D484" s="25" t="s">
        <v>239</v>
      </c>
      <c r="E484" s="25" t="s">
        <v>844</v>
      </c>
      <c r="F484" s="25"/>
      <c r="G484" s="26">
        <v>2796466.9975159406</v>
      </c>
      <c r="H484" s="27">
        <v>46220</v>
      </c>
      <c r="I484" s="28">
        <v>46295</v>
      </c>
      <c r="J484" s="27">
        <v>27604</v>
      </c>
      <c r="K484" s="25">
        <f t="shared" si="35"/>
        <v>-75.580555555555549</v>
      </c>
      <c r="L484" s="25">
        <f t="shared" si="36"/>
        <v>-126.54722222222222</v>
      </c>
      <c r="M484" s="73">
        <v>1</v>
      </c>
      <c r="N484" s="76" t="str">
        <f t="shared" si="37"/>
        <v>TERMINO FIJO</v>
      </c>
      <c r="O484" s="32">
        <v>121</v>
      </c>
      <c r="P484" s="32">
        <v>3</v>
      </c>
      <c r="Q484" s="29" t="s">
        <v>30</v>
      </c>
      <c r="R484" s="29">
        <v>18</v>
      </c>
      <c r="S484" s="59">
        <v>3</v>
      </c>
      <c r="T484" s="32">
        <v>5</v>
      </c>
    </row>
    <row r="485" spans="1:20">
      <c r="A485" s="25" t="s">
        <v>158</v>
      </c>
      <c r="B485" s="54">
        <v>98339238</v>
      </c>
      <c r="C485" s="25" t="s">
        <v>907</v>
      </c>
      <c r="D485" s="25" t="s">
        <v>160</v>
      </c>
      <c r="E485" s="25" t="s">
        <v>844</v>
      </c>
      <c r="F485" s="25" t="s">
        <v>812</v>
      </c>
      <c r="G485" s="26">
        <v>2527665.2085527098</v>
      </c>
      <c r="H485" s="27">
        <v>46220</v>
      </c>
      <c r="I485" s="28">
        <v>46295</v>
      </c>
      <c r="J485" s="27"/>
      <c r="K485" s="25">
        <f t="shared" si="35"/>
        <v>0</v>
      </c>
      <c r="L485" s="25">
        <f t="shared" si="36"/>
        <v>-126.54722222222222</v>
      </c>
      <c r="M485" s="73">
        <v>1</v>
      </c>
      <c r="N485" s="76" t="str">
        <f t="shared" si="37"/>
        <v>TERMINO FIJO</v>
      </c>
      <c r="O485" s="32">
        <v>121</v>
      </c>
      <c r="P485" s="32">
        <v>4</v>
      </c>
      <c r="Q485" s="29" t="s">
        <v>30</v>
      </c>
      <c r="R485" s="29">
        <v>18</v>
      </c>
      <c r="S485" s="59">
        <v>3</v>
      </c>
      <c r="T485" s="32">
        <v>5</v>
      </c>
    </row>
    <row r="486" spans="1:20">
      <c r="A486" s="44" t="s">
        <v>158</v>
      </c>
      <c r="B486" s="45">
        <v>98323737</v>
      </c>
      <c r="C486" s="44" t="s">
        <v>908</v>
      </c>
      <c r="D486" s="44" t="s">
        <v>270</v>
      </c>
      <c r="E486" s="44" t="s">
        <v>844</v>
      </c>
      <c r="F486" s="44" t="s">
        <v>812</v>
      </c>
      <c r="G486" s="46">
        <v>2527665.2085527098</v>
      </c>
      <c r="H486" s="47">
        <v>44470</v>
      </c>
      <c r="I486" s="48"/>
      <c r="J486" s="47">
        <v>28383</v>
      </c>
      <c r="K486" s="44">
        <f t="shared" si="35"/>
        <v>-77.708333333333329</v>
      </c>
      <c r="L486" s="44">
        <f t="shared" si="36"/>
        <v>-121.75277777777778</v>
      </c>
      <c r="M486" s="49" t="s">
        <v>34</v>
      </c>
      <c r="N486" s="106" t="str">
        <f t="shared" si="37"/>
        <v>TERMINO INDEFINIDO NUEVO</v>
      </c>
      <c r="O486" s="53">
        <v>121</v>
      </c>
      <c r="P486" s="53">
        <v>4</v>
      </c>
      <c r="Q486" s="51" t="s">
        <v>30</v>
      </c>
      <c r="R486" s="51">
        <v>18</v>
      </c>
      <c r="S486" s="178">
        <v>3</v>
      </c>
      <c r="T486" s="53">
        <v>7</v>
      </c>
    </row>
    <row r="487" spans="1:20">
      <c r="A487" s="25" t="s">
        <v>233</v>
      </c>
      <c r="B487" s="54" t="s">
        <v>909</v>
      </c>
      <c r="C487" s="25" t="s">
        <v>910</v>
      </c>
      <c r="D487" s="25" t="s">
        <v>235</v>
      </c>
      <c r="E487" s="25" t="s">
        <v>844</v>
      </c>
      <c r="F487" s="25"/>
      <c r="G487" s="26">
        <v>2677767.7670299616</v>
      </c>
      <c r="H487" s="27">
        <v>32478</v>
      </c>
      <c r="I487" s="39"/>
      <c r="J487" s="27">
        <v>25170</v>
      </c>
      <c r="K487" s="25">
        <f t="shared" si="35"/>
        <v>-68.911111111111111</v>
      </c>
      <c r="L487" s="25">
        <f t="shared" si="36"/>
        <v>-88.919444444444451</v>
      </c>
      <c r="M487" s="29">
        <v>2</v>
      </c>
      <c r="N487" s="76" t="str">
        <f t="shared" si="37"/>
        <v>TERMINO INDEFINIDO</v>
      </c>
      <c r="O487" s="32">
        <v>121</v>
      </c>
      <c r="P487" s="32">
        <v>4</v>
      </c>
      <c r="Q487" s="29" t="s">
        <v>35</v>
      </c>
      <c r="R487" s="29">
        <v>22</v>
      </c>
      <c r="S487" s="59">
        <v>1</v>
      </c>
      <c r="T487" s="32">
        <v>7</v>
      </c>
    </row>
    <row r="488" spans="1:20">
      <c r="A488" s="25" t="s">
        <v>67</v>
      </c>
      <c r="B488" s="25" t="s">
        <v>911</v>
      </c>
      <c r="C488" s="25" t="s">
        <v>912</v>
      </c>
      <c r="D488" s="25" t="s">
        <v>725</v>
      </c>
      <c r="E488" s="25" t="s">
        <v>913</v>
      </c>
      <c r="F488" s="25" t="s">
        <v>845</v>
      </c>
      <c r="G488" s="26">
        <v>9446508.7131569237</v>
      </c>
      <c r="H488" s="27">
        <v>36237</v>
      </c>
      <c r="I488" s="28"/>
      <c r="J488" s="27">
        <v>24028</v>
      </c>
      <c r="K488" s="25">
        <f>(DAYS360(J488,$K$1))/360</f>
        <v>-65.786111111111111</v>
      </c>
      <c r="L488" s="25">
        <f>(DAYS360(H488,$K$1))/360</f>
        <v>-99.216666666666669</v>
      </c>
      <c r="M488" s="29">
        <v>2</v>
      </c>
      <c r="N488" s="30" t="str">
        <f t="shared" si="37"/>
        <v>TERMINO INDEFINIDO</v>
      </c>
      <c r="O488" s="29">
        <v>131</v>
      </c>
      <c r="P488" s="29">
        <v>4</v>
      </c>
      <c r="Q488" s="29" t="s">
        <v>30</v>
      </c>
      <c r="R488" s="29">
        <v>17</v>
      </c>
      <c r="S488" s="59">
        <v>6</v>
      </c>
      <c r="T488" s="32">
        <v>4</v>
      </c>
    </row>
    <row r="489" spans="1:20">
      <c r="A489" s="36" t="s">
        <v>36</v>
      </c>
      <c r="B489" s="71">
        <v>27275988</v>
      </c>
      <c r="C489" s="36" t="s">
        <v>914</v>
      </c>
      <c r="D489" s="36" t="s">
        <v>61</v>
      </c>
      <c r="E489" s="36" t="s">
        <v>913</v>
      </c>
      <c r="F489" s="36"/>
      <c r="G489" s="37">
        <v>3707009.4514301317</v>
      </c>
      <c r="H489" s="38">
        <v>40063</v>
      </c>
      <c r="I489" s="39"/>
      <c r="J489" s="38">
        <v>24535</v>
      </c>
      <c r="K489" s="36">
        <f t="shared" ref="K489:K509" si="38">(DAYS360(J489,$K$1))/360</f>
        <v>-67.177777777777777</v>
      </c>
      <c r="L489" s="36">
        <f t="shared" ref="L489:L509" si="39">(DAYS360(H489,$K$1))/360</f>
        <v>-109.68611111111112</v>
      </c>
      <c r="M489" s="40" t="s">
        <v>34</v>
      </c>
      <c r="N489" s="34" t="str">
        <f t="shared" si="37"/>
        <v>TERMINO INDEFINIDO NUEVO</v>
      </c>
      <c r="O489" s="35">
        <v>132</v>
      </c>
      <c r="P489" s="35">
        <v>5</v>
      </c>
      <c r="Q489" s="35" t="s">
        <v>35</v>
      </c>
      <c r="R489" s="35">
        <v>17</v>
      </c>
      <c r="S489" s="160">
        <v>2</v>
      </c>
      <c r="T489" s="42">
        <v>6</v>
      </c>
    </row>
    <row r="490" spans="1:20">
      <c r="A490" s="25" t="s">
        <v>36</v>
      </c>
      <c r="B490" s="25" t="s">
        <v>915</v>
      </c>
      <c r="C490" s="25" t="s">
        <v>916</v>
      </c>
      <c r="D490" s="25" t="s">
        <v>61</v>
      </c>
      <c r="E490" s="25" t="s">
        <v>913</v>
      </c>
      <c r="F490" s="25" t="s">
        <v>917</v>
      </c>
      <c r="G490" s="26">
        <v>3707009.3133</v>
      </c>
      <c r="H490" s="27">
        <v>36601</v>
      </c>
      <c r="I490" s="28"/>
      <c r="J490" s="27">
        <v>28180</v>
      </c>
      <c r="K490" s="25">
        <f>(DAYS360(J490,$K$1))/360</f>
        <v>-77.150000000000006</v>
      </c>
      <c r="L490" s="25">
        <f>(DAYS360(H490,$K$1))/360</f>
        <v>-100.21111111111111</v>
      </c>
      <c r="M490" s="29">
        <v>2</v>
      </c>
      <c r="N490" s="57" t="str">
        <f t="shared" si="37"/>
        <v>TERMINO INDEFINIDO</v>
      </c>
      <c r="O490" s="58">
        <v>132</v>
      </c>
      <c r="P490" s="32">
        <v>5</v>
      </c>
      <c r="Q490" s="29" t="s">
        <v>35</v>
      </c>
      <c r="R490" s="29">
        <v>17</v>
      </c>
      <c r="S490" s="122">
        <v>5</v>
      </c>
      <c r="T490" s="32">
        <v>6</v>
      </c>
    </row>
    <row r="491" spans="1:20">
      <c r="A491" s="36" t="s">
        <v>115</v>
      </c>
      <c r="B491" s="71">
        <v>27281344</v>
      </c>
      <c r="C491" s="36" t="s">
        <v>918</v>
      </c>
      <c r="D491" s="36" t="s">
        <v>117</v>
      </c>
      <c r="E491" s="36" t="s">
        <v>913</v>
      </c>
      <c r="F491" s="36" t="s">
        <v>919</v>
      </c>
      <c r="G491" s="37">
        <v>3283806.7690738421</v>
      </c>
      <c r="H491" s="38">
        <v>40330</v>
      </c>
      <c r="I491" s="39"/>
      <c r="J491" s="38">
        <v>24328</v>
      </c>
      <c r="K491" s="36">
        <f t="shared" si="38"/>
        <v>-66.608333333333334</v>
      </c>
      <c r="L491" s="36">
        <f t="shared" si="39"/>
        <v>-110.41944444444445</v>
      </c>
      <c r="M491" s="40" t="s">
        <v>34</v>
      </c>
      <c r="N491" s="41" t="str">
        <f t="shared" si="37"/>
        <v>TERMINO INDEFINIDO NUEVO</v>
      </c>
      <c r="O491" s="42">
        <v>132</v>
      </c>
      <c r="P491" s="42">
        <v>5</v>
      </c>
      <c r="Q491" s="35" t="s">
        <v>35</v>
      </c>
      <c r="R491" s="35">
        <v>17</v>
      </c>
      <c r="S491" s="94">
        <v>3</v>
      </c>
      <c r="T491" s="42">
        <v>6</v>
      </c>
    </row>
    <row r="492" spans="1:20">
      <c r="A492" s="36" t="s">
        <v>115</v>
      </c>
      <c r="B492" s="71">
        <v>27277225</v>
      </c>
      <c r="C492" s="36" t="s">
        <v>920</v>
      </c>
      <c r="D492" s="36" t="s">
        <v>117</v>
      </c>
      <c r="E492" s="36" t="s">
        <v>913</v>
      </c>
      <c r="F492" s="36"/>
      <c r="G492" s="37">
        <v>3283806.7690738421</v>
      </c>
      <c r="H492" s="38">
        <v>39455</v>
      </c>
      <c r="I492" s="39"/>
      <c r="J492" s="38">
        <v>27509</v>
      </c>
      <c r="K492" s="36">
        <f t="shared" si="38"/>
        <v>-75.319444444444443</v>
      </c>
      <c r="L492" s="36">
        <f t="shared" si="39"/>
        <v>-108.02222222222223</v>
      </c>
      <c r="M492" s="40" t="s">
        <v>34</v>
      </c>
      <c r="N492" s="41" t="str">
        <f t="shared" si="37"/>
        <v>TERMINO INDEFINIDO NUEVO</v>
      </c>
      <c r="O492" s="42">
        <v>132</v>
      </c>
      <c r="P492" s="42">
        <v>5</v>
      </c>
      <c r="Q492" s="35" t="s">
        <v>35</v>
      </c>
      <c r="R492" s="35">
        <v>17</v>
      </c>
      <c r="S492" s="94">
        <v>3</v>
      </c>
      <c r="T492" s="42">
        <v>6</v>
      </c>
    </row>
    <row r="493" spans="1:20">
      <c r="A493" s="25" t="s">
        <v>331</v>
      </c>
      <c r="B493" s="25" t="s">
        <v>921</v>
      </c>
      <c r="C493" s="25" t="s">
        <v>922</v>
      </c>
      <c r="D493" s="25" t="s">
        <v>353</v>
      </c>
      <c r="E493" s="25" t="s">
        <v>913</v>
      </c>
      <c r="F493" s="25"/>
      <c r="G493" s="26">
        <v>3120218.4554910217</v>
      </c>
      <c r="H493" s="27">
        <v>33809</v>
      </c>
      <c r="I493" s="39"/>
      <c r="J493" s="27">
        <v>25883</v>
      </c>
      <c r="K493" s="25">
        <f t="shared" si="38"/>
        <v>-70.863888888888894</v>
      </c>
      <c r="L493" s="25">
        <f t="shared" si="39"/>
        <v>-92.566666666666663</v>
      </c>
      <c r="M493" s="29">
        <v>2</v>
      </c>
      <c r="N493" s="76" t="str">
        <f t="shared" si="37"/>
        <v>TERMINO INDEFINIDO</v>
      </c>
      <c r="O493" s="32">
        <v>133</v>
      </c>
      <c r="P493" s="32">
        <v>3</v>
      </c>
      <c r="Q493" s="29" t="s">
        <v>30</v>
      </c>
      <c r="R493" s="29">
        <v>23</v>
      </c>
      <c r="S493" s="59">
        <v>3</v>
      </c>
      <c r="T493" s="32">
        <v>5</v>
      </c>
    </row>
    <row r="494" spans="1:20">
      <c r="A494" s="36" t="s">
        <v>331</v>
      </c>
      <c r="B494" s="71">
        <v>87245764</v>
      </c>
      <c r="C494" s="36" t="s">
        <v>923</v>
      </c>
      <c r="D494" s="36" t="s">
        <v>353</v>
      </c>
      <c r="E494" s="36" t="s">
        <v>913</v>
      </c>
      <c r="F494" s="36"/>
      <c r="G494" s="37">
        <v>3120219.2784362365</v>
      </c>
      <c r="H494" s="38">
        <v>39300</v>
      </c>
      <c r="I494" s="39"/>
      <c r="J494" s="38">
        <v>23196</v>
      </c>
      <c r="K494" s="36">
        <f t="shared" si="38"/>
        <v>-63.511111111111113</v>
      </c>
      <c r="L494" s="36">
        <f t="shared" si="39"/>
        <v>-107.6</v>
      </c>
      <c r="M494" s="40" t="s">
        <v>34</v>
      </c>
      <c r="N494" s="41" t="str">
        <f t="shared" si="37"/>
        <v>TERMINO INDEFINIDO NUEVO</v>
      </c>
      <c r="O494" s="42">
        <v>133</v>
      </c>
      <c r="P494" s="42">
        <v>3</v>
      </c>
      <c r="Q494" s="35" t="s">
        <v>30</v>
      </c>
      <c r="R494" s="35">
        <v>23</v>
      </c>
      <c r="S494" s="94">
        <v>3</v>
      </c>
      <c r="T494" s="42">
        <v>5</v>
      </c>
    </row>
    <row r="495" spans="1:20">
      <c r="A495" s="33" t="s">
        <v>286</v>
      </c>
      <c r="B495" s="71">
        <v>87061481</v>
      </c>
      <c r="C495" s="36" t="s">
        <v>924</v>
      </c>
      <c r="D495" s="36" t="s">
        <v>365</v>
      </c>
      <c r="E495" s="36" t="s">
        <v>913</v>
      </c>
      <c r="F495" s="36"/>
      <c r="G495" s="37">
        <v>2786823.8501951806</v>
      </c>
      <c r="H495" s="38">
        <v>42772</v>
      </c>
      <c r="I495" s="39"/>
      <c r="J495" s="38">
        <v>29927</v>
      </c>
      <c r="K495" s="36">
        <f t="shared" si="38"/>
        <v>-81.936111111111117</v>
      </c>
      <c r="L495" s="36">
        <f t="shared" si="39"/>
        <v>-117.1</v>
      </c>
      <c r="M495" s="40" t="s">
        <v>34</v>
      </c>
      <c r="N495" s="41" t="str">
        <f t="shared" si="37"/>
        <v>TERMINO INDEFINIDO NUEVO</v>
      </c>
      <c r="O495" s="42">
        <v>133</v>
      </c>
      <c r="P495" s="42">
        <v>5</v>
      </c>
      <c r="Q495" s="35" t="s">
        <v>30</v>
      </c>
      <c r="R495" s="35">
        <v>23</v>
      </c>
      <c r="S495" s="94">
        <v>3</v>
      </c>
      <c r="T495" s="42">
        <v>5</v>
      </c>
    </row>
    <row r="496" spans="1:20">
      <c r="A496" s="104" t="s">
        <v>286</v>
      </c>
      <c r="B496" s="61">
        <v>87248681</v>
      </c>
      <c r="C496" s="62" t="s">
        <v>925</v>
      </c>
      <c r="D496" s="62" t="s">
        <v>365</v>
      </c>
      <c r="E496" s="62" t="s">
        <v>913</v>
      </c>
      <c r="F496" s="62"/>
      <c r="G496" s="63">
        <v>2786823.7835050523</v>
      </c>
      <c r="H496" s="64">
        <v>43147</v>
      </c>
      <c r="I496" s="65"/>
      <c r="J496" s="64">
        <v>29744</v>
      </c>
      <c r="K496" s="62">
        <f t="shared" si="38"/>
        <v>-81.436111111111117</v>
      </c>
      <c r="L496" s="62">
        <f t="shared" si="39"/>
        <v>-118.12777777777778</v>
      </c>
      <c r="M496" s="66" t="s">
        <v>34</v>
      </c>
      <c r="N496" s="67" t="str">
        <f t="shared" si="37"/>
        <v>TERMINO INDEFINIDO NUEVO</v>
      </c>
      <c r="O496" s="68">
        <v>132</v>
      </c>
      <c r="P496" s="68">
        <v>5</v>
      </c>
      <c r="Q496" s="69" t="s">
        <v>30</v>
      </c>
      <c r="R496" s="69">
        <v>23</v>
      </c>
      <c r="S496" s="70">
        <v>3</v>
      </c>
      <c r="T496" s="68">
        <v>5</v>
      </c>
    </row>
    <row r="497" spans="1:20">
      <c r="A497" s="25" t="s">
        <v>409</v>
      </c>
      <c r="B497" s="54" t="s">
        <v>926</v>
      </c>
      <c r="C497" s="25" t="s">
        <v>927</v>
      </c>
      <c r="D497" s="25" t="s">
        <v>689</v>
      </c>
      <c r="E497" s="25" t="s">
        <v>913</v>
      </c>
      <c r="F497" s="25"/>
      <c r="G497" s="26">
        <v>3231586.9520465797</v>
      </c>
      <c r="H497" s="81">
        <v>32561</v>
      </c>
      <c r="I497" s="100"/>
      <c r="J497" s="27">
        <v>24256</v>
      </c>
      <c r="K497" s="25">
        <f t="shared" si="38"/>
        <v>-66.413888888888891</v>
      </c>
      <c r="L497" s="25">
        <f t="shared" si="39"/>
        <v>-89.144444444444446</v>
      </c>
      <c r="M497" s="29">
        <v>2</v>
      </c>
      <c r="N497" s="76" t="str">
        <f t="shared" si="37"/>
        <v>TERMINO INDEFINIDO</v>
      </c>
      <c r="O497" s="32">
        <v>132</v>
      </c>
      <c r="P497" s="32">
        <v>5</v>
      </c>
      <c r="Q497" s="29" t="s">
        <v>30</v>
      </c>
      <c r="R497" s="29">
        <v>23</v>
      </c>
      <c r="S497" s="59">
        <v>3</v>
      </c>
      <c r="T497" s="32">
        <v>5</v>
      </c>
    </row>
    <row r="498" spans="1:20">
      <c r="A498" s="72" t="s">
        <v>56</v>
      </c>
      <c r="B498" s="54" t="s">
        <v>928</v>
      </c>
      <c r="C498" s="25" t="s">
        <v>929</v>
      </c>
      <c r="D498" s="25" t="s">
        <v>275</v>
      </c>
      <c r="E498" s="25" t="s">
        <v>913</v>
      </c>
      <c r="F498" s="25"/>
      <c r="G498" s="26">
        <v>3231586.9520465797</v>
      </c>
      <c r="H498" s="27">
        <v>35234</v>
      </c>
      <c r="I498" s="39"/>
      <c r="J498" s="27">
        <v>26795</v>
      </c>
      <c r="K498" s="25">
        <f t="shared" si="38"/>
        <v>-73.363888888888894</v>
      </c>
      <c r="L498" s="25">
        <f t="shared" si="39"/>
        <v>-96.466666666666669</v>
      </c>
      <c r="M498" s="29">
        <v>2</v>
      </c>
      <c r="N498" s="76" t="str">
        <f t="shared" si="37"/>
        <v>TERMINO INDEFINIDO</v>
      </c>
      <c r="O498" s="32">
        <v>137</v>
      </c>
      <c r="P498" s="32">
        <v>5</v>
      </c>
      <c r="Q498" s="29" t="s">
        <v>30</v>
      </c>
      <c r="R498" s="29">
        <v>23</v>
      </c>
      <c r="S498" s="59">
        <v>3</v>
      </c>
      <c r="T498" s="32">
        <v>5</v>
      </c>
    </row>
    <row r="499" spans="1:20">
      <c r="A499" s="114" t="s">
        <v>56</v>
      </c>
      <c r="B499" s="71">
        <v>27275949</v>
      </c>
      <c r="C499" s="36" t="s">
        <v>930</v>
      </c>
      <c r="D499" s="36" t="s">
        <v>275</v>
      </c>
      <c r="E499" s="36" t="s">
        <v>913</v>
      </c>
      <c r="F499" s="36" t="s">
        <v>931</v>
      </c>
      <c r="G499" s="37">
        <v>3231586.9520465797</v>
      </c>
      <c r="H499" s="38">
        <v>40330</v>
      </c>
      <c r="I499" s="39"/>
      <c r="J499" s="38">
        <v>24328</v>
      </c>
      <c r="K499" s="36">
        <f t="shared" si="38"/>
        <v>-66.608333333333334</v>
      </c>
      <c r="L499" s="36">
        <f t="shared" si="39"/>
        <v>-110.41944444444445</v>
      </c>
      <c r="M499" s="40" t="s">
        <v>34</v>
      </c>
      <c r="N499" s="41" t="str">
        <f t="shared" si="37"/>
        <v>TERMINO INDEFINIDO NUEVO</v>
      </c>
      <c r="O499" s="42">
        <v>132</v>
      </c>
      <c r="P499" s="42">
        <v>5</v>
      </c>
      <c r="Q499" s="35" t="s">
        <v>35</v>
      </c>
      <c r="R499" s="35">
        <v>17</v>
      </c>
      <c r="S499" s="94">
        <v>2</v>
      </c>
      <c r="T499" s="42">
        <v>5</v>
      </c>
    </row>
    <row r="500" spans="1:20">
      <c r="A500" s="114" t="s">
        <v>56</v>
      </c>
      <c r="B500" s="54" t="s">
        <v>932</v>
      </c>
      <c r="C500" s="25" t="s">
        <v>933</v>
      </c>
      <c r="D500" s="25" t="s">
        <v>275</v>
      </c>
      <c r="E500" s="25" t="s">
        <v>913</v>
      </c>
      <c r="F500" s="25"/>
      <c r="G500" s="26">
        <v>3231586.9520465797</v>
      </c>
      <c r="H500" s="27">
        <v>36606</v>
      </c>
      <c r="I500" s="39"/>
      <c r="J500" s="27">
        <v>27749</v>
      </c>
      <c r="K500" s="25">
        <f t="shared" si="38"/>
        <v>-75.974999999999994</v>
      </c>
      <c r="L500" s="25">
        <f t="shared" si="39"/>
        <v>-100.22499999999999</v>
      </c>
      <c r="M500" s="29">
        <v>2</v>
      </c>
      <c r="N500" s="76" t="str">
        <f t="shared" si="37"/>
        <v>TERMINO INDEFINIDO</v>
      </c>
      <c r="O500" s="32">
        <v>131</v>
      </c>
      <c r="P500" s="32">
        <v>5</v>
      </c>
      <c r="Q500" s="29" t="s">
        <v>30</v>
      </c>
      <c r="R500" s="29">
        <v>23</v>
      </c>
      <c r="S500" s="59">
        <v>3</v>
      </c>
      <c r="T500" s="32">
        <v>5</v>
      </c>
    </row>
    <row r="501" spans="1:20">
      <c r="A501" s="25" t="s">
        <v>511</v>
      </c>
      <c r="B501" s="25" t="s">
        <v>934</v>
      </c>
      <c r="C501" s="25" t="s">
        <v>935</v>
      </c>
      <c r="D501" s="25" t="s">
        <v>650</v>
      </c>
      <c r="E501" s="25" t="s">
        <v>936</v>
      </c>
      <c r="F501" s="25"/>
      <c r="G501" s="26">
        <v>2802739.1336794067</v>
      </c>
      <c r="H501" s="27">
        <v>35125</v>
      </c>
      <c r="I501" s="39"/>
      <c r="J501" s="27">
        <v>25117</v>
      </c>
      <c r="K501" s="25">
        <f t="shared" si="38"/>
        <v>-68.766666666666666</v>
      </c>
      <c r="L501" s="25">
        <f t="shared" si="39"/>
        <v>-96.169444444444451</v>
      </c>
      <c r="M501" s="29">
        <v>2</v>
      </c>
      <c r="N501" s="76" t="str">
        <f t="shared" si="37"/>
        <v>TERMINO INDEFINIDO</v>
      </c>
      <c r="O501" s="32">
        <v>137</v>
      </c>
      <c r="P501" s="32">
        <v>5</v>
      </c>
      <c r="Q501" s="29" t="s">
        <v>30</v>
      </c>
      <c r="R501" s="29">
        <v>23</v>
      </c>
      <c r="S501" s="59">
        <v>3</v>
      </c>
      <c r="T501" s="32">
        <v>5</v>
      </c>
    </row>
    <row r="502" spans="1:20">
      <c r="A502" s="44" t="s">
        <v>511</v>
      </c>
      <c r="B502" s="45">
        <v>87248054</v>
      </c>
      <c r="C502" s="44" t="s">
        <v>937</v>
      </c>
      <c r="D502" s="44" t="s">
        <v>650</v>
      </c>
      <c r="E502" s="44" t="s">
        <v>938</v>
      </c>
      <c r="F502" s="44"/>
      <c r="G502" s="46">
        <v>2802739.1336794067</v>
      </c>
      <c r="H502" s="47">
        <v>45416</v>
      </c>
      <c r="I502" s="48"/>
      <c r="J502" s="47">
        <v>28734</v>
      </c>
      <c r="K502" s="44">
        <f t="shared" si="38"/>
        <v>-78.669444444444451</v>
      </c>
      <c r="L502" s="44">
        <f t="shared" si="39"/>
        <v>-124.34444444444445</v>
      </c>
      <c r="M502" s="49" t="s">
        <v>34</v>
      </c>
      <c r="N502" s="106" t="str">
        <f t="shared" si="37"/>
        <v>TERMINO INDEFINIDO NUEVO</v>
      </c>
      <c r="O502" s="53">
        <v>137</v>
      </c>
      <c r="P502" s="53">
        <v>5</v>
      </c>
      <c r="Q502" s="51" t="s">
        <v>30</v>
      </c>
      <c r="R502" s="51">
        <v>23</v>
      </c>
      <c r="S502" s="97">
        <v>3</v>
      </c>
      <c r="T502" s="53">
        <v>5</v>
      </c>
    </row>
    <row r="503" spans="1:20">
      <c r="A503" s="25" t="s">
        <v>511</v>
      </c>
      <c r="B503" s="54">
        <v>5246440</v>
      </c>
      <c r="C503" s="25" t="s">
        <v>939</v>
      </c>
      <c r="D503" s="25" t="s">
        <v>650</v>
      </c>
      <c r="E503" s="25" t="s">
        <v>940</v>
      </c>
      <c r="F503" s="25"/>
      <c r="G503" s="26">
        <v>2802739.1336794067</v>
      </c>
      <c r="H503" s="27">
        <v>35370</v>
      </c>
      <c r="I503" s="39"/>
      <c r="J503" s="27">
        <v>24725</v>
      </c>
      <c r="K503" s="25">
        <f t="shared" si="38"/>
        <v>-67.694444444444443</v>
      </c>
      <c r="L503" s="93">
        <f t="shared" si="39"/>
        <v>-96.836111111111109</v>
      </c>
      <c r="M503" s="29">
        <v>2</v>
      </c>
      <c r="N503" s="76" t="str">
        <f t="shared" si="37"/>
        <v>TERMINO INDEFINIDO</v>
      </c>
      <c r="O503" s="32">
        <v>137</v>
      </c>
      <c r="P503" s="32">
        <v>5</v>
      </c>
      <c r="Q503" s="29" t="s">
        <v>30</v>
      </c>
      <c r="R503" s="29">
        <v>23</v>
      </c>
      <c r="S503" s="59">
        <v>3</v>
      </c>
      <c r="T503" s="32">
        <v>5</v>
      </c>
    </row>
    <row r="504" spans="1:20">
      <c r="A504" s="25" t="s">
        <v>511</v>
      </c>
      <c r="B504" s="54">
        <v>1088971235</v>
      </c>
      <c r="C504" s="25" t="s">
        <v>941</v>
      </c>
      <c r="D504" s="25" t="s">
        <v>650</v>
      </c>
      <c r="E504" s="25" t="s">
        <v>913</v>
      </c>
      <c r="F504" s="25" t="s">
        <v>942</v>
      </c>
      <c r="G504" s="26">
        <v>2802739.1336794067</v>
      </c>
      <c r="H504" s="27">
        <v>46247</v>
      </c>
      <c r="I504" s="28">
        <v>46295</v>
      </c>
      <c r="J504" s="27"/>
      <c r="K504" s="25">
        <f t="shared" si="38"/>
        <v>0</v>
      </c>
      <c r="L504" s="25">
        <f t="shared" si="39"/>
        <v>-126.61944444444444</v>
      </c>
      <c r="M504" s="73">
        <v>1</v>
      </c>
      <c r="N504" s="76" t="str">
        <f t="shared" si="37"/>
        <v>TERMINO FIJO</v>
      </c>
      <c r="O504" s="32">
        <v>132</v>
      </c>
      <c r="P504" s="32">
        <v>5</v>
      </c>
      <c r="Q504" s="29" t="s">
        <v>30</v>
      </c>
      <c r="R504" s="29">
        <v>17</v>
      </c>
      <c r="S504" s="59">
        <v>2</v>
      </c>
      <c r="T504" s="32">
        <v>5</v>
      </c>
    </row>
    <row r="505" spans="1:20">
      <c r="A505" s="36" t="s">
        <v>511</v>
      </c>
      <c r="B505" s="71">
        <v>98358739</v>
      </c>
      <c r="C505" s="36" t="s">
        <v>943</v>
      </c>
      <c r="D505" s="36" t="s">
        <v>650</v>
      </c>
      <c r="E505" s="36" t="s">
        <v>944</v>
      </c>
      <c r="F505" s="36"/>
      <c r="G505" s="37">
        <v>2802739.1336794067</v>
      </c>
      <c r="H505" s="38">
        <v>39815</v>
      </c>
      <c r="I505" s="39"/>
      <c r="J505" s="38">
        <v>28911</v>
      </c>
      <c r="K505" s="36">
        <f t="shared" si="38"/>
        <v>-79.152777777777771</v>
      </c>
      <c r="L505" s="36">
        <f t="shared" si="39"/>
        <v>-109.00555555555556</v>
      </c>
      <c r="M505" s="40" t="s">
        <v>34</v>
      </c>
      <c r="N505" s="41" t="str">
        <f t="shared" si="37"/>
        <v>TERMINO INDEFINIDO NUEVO</v>
      </c>
      <c r="O505" s="42">
        <v>137</v>
      </c>
      <c r="P505" s="42">
        <v>5</v>
      </c>
      <c r="Q505" s="35" t="s">
        <v>30</v>
      </c>
      <c r="R505" s="35">
        <v>23</v>
      </c>
      <c r="S505" s="94">
        <v>3</v>
      </c>
      <c r="T505" s="42">
        <v>5</v>
      </c>
    </row>
    <row r="506" spans="1:20">
      <c r="A506" s="36" t="s">
        <v>511</v>
      </c>
      <c r="B506" s="71">
        <v>98358341</v>
      </c>
      <c r="C506" s="36" t="s">
        <v>945</v>
      </c>
      <c r="D506" s="36" t="s">
        <v>650</v>
      </c>
      <c r="E506" s="36" t="s">
        <v>944</v>
      </c>
      <c r="F506" s="36"/>
      <c r="G506" s="37">
        <v>2802739.1336794067</v>
      </c>
      <c r="H506" s="38">
        <v>41183</v>
      </c>
      <c r="I506" s="39"/>
      <c r="J506" s="38">
        <v>25869</v>
      </c>
      <c r="K506" s="36">
        <f t="shared" si="38"/>
        <v>-70.827777777777783</v>
      </c>
      <c r="L506" s="36">
        <f t="shared" si="39"/>
        <v>-112.75277777777778</v>
      </c>
      <c r="M506" s="40" t="s">
        <v>34</v>
      </c>
      <c r="N506" s="41" t="str">
        <f t="shared" si="37"/>
        <v>TERMINO INDEFINIDO NUEVO</v>
      </c>
      <c r="O506" s="42">
        <v>137</v>
      </c>
      <c r="P506" s="42">
        <v>5</v>
      </c>
      <c r="Q506" s="35" t="s">
        <v>30</v>
      </c>
      <c r="R506" s="35">
        <v>23</v>
      </c>
      <c r="S506" s="94">
        <v>3</v>
      </c>
      <c r="T506" s="42">
        <v>5</v>
      </c>
    </row>
    <row r="507" spans="1:20">
      <c r="A507" s="36" t="s">
        <v>501</v>
      </c>
      <c r="B507" s="71">
        <v>98355031</v>
      </c>
      <c r="C507" s="36" t="s">
        <v>946</v>
      </c>
      <c r="D507" s="36" t="s">
        <v>789</v>
      </c>
      <c r="E507" s="36" t="s">
        <v>940</v>
      </c>
      <c r="F507" s="36"/>
      <c r="G507" s="37">
        <v>2527665.2085527098</v>
      </c>
      <c r="H507" s="38">
        <v>39815</v>
      </c>
      <c r="I507" s="39"/>
      <c r="J507" s="38">
        <v>29488</v>
      </c>
      <c r="K507" s="36">
        <f t="shared" si="38"/>
        <v>-80.733333333333334</v>
      </c>
      <c r="L507" s="36">
        <f t="shared" si="39"/>
        <v>-109.00555555555556</v>
      </c>
      <c r="M507" s="40" t="s">
        <v>34</v>
      </c>
      <c r="N507" s="41" t="str">
        <f t="shared" si="37"/>
        <v>TERMINO INDEFINIDO NUEVO</v>
      </c>
      <c r="O507" s="42">
        <v>137</v>
      </c>
      <c r="P507" s="42">
        <v>5</v>
      </c>
      <c r="Q507" s="35" t="s">
        <v>30</v>
      </c>
      <c r="R507" s="35">
        <v>23</v>
      </c>
      <c r="S507" s="94">
        <v>3</v>
      </c>
      <c r="T507" s="42">
        <v>5</v>
      </c>
    </row>
    <row r="508" spans="1:20">
      <c r="A508" s="36" t="s">
        <v>501</v>
      </c>
      <c r="B508" s="71">
        <v>13040536</v>
      </c>
      <c r="C508" s="36" t="s">
        <v>947</v>
      </c>
      <c r="D508" s="36" t="s">
        <v>789</v>
      </c>
      <c r="E508" s="36" t="s">
        <v>938</v>
      </c>
      <c r="F508" s="36"/>
      <c r="G508" s="37">
        <v>2527665.2085527098</v>
      </c>
      <c r="H508" s="38">
        <v>39965</v>
      </c>
      <c r="I508" s="39"/>
      <c r="J508" s="38">
        <v>29795</v>
      </c>
      <c r="K508" s="36">
        <f t="shared" si="38"/>
        <v>-81.577777777777783</v>
      </c>
      <c r="L508" s="36">
        <f t="shared" si="39"/>
        <v>-109.41944444444445</v>
      </c>
      <c r="M508" s="40" t="s">
        <v>34</v>
      </c>
      <c r="N508" s="41" t="str">
        <f t="shared" si="37"/>
        <v>TERMINO INDEFINIDO NUEVO</v>
      </c>
      <c r="O508" s="42">
        <v>137</v>
      </c>
      <c r="P508" s="42">
        <v>5</v>
      </c>
      <c r="Q508" s="35" t="s">
        <v>30</v>
      </c>
      <c r="R508" s="35">
        <v>23</v>
      </c>
      <c r="S508" s="94">
        <v>3</v>
      </c>
      <c r="T508" s="42">
        <v>5</v>
      </c>
    </row>
    <row r="509" spans="1:20">
      <c r="A509" s="36" t="s">
        <v>237</v>
      </c>
      <c r="B509" s="71">
        <v>87249458</v>
      </c>
      <c r="C509" s="36" t="s">
        <v>948</v>
      </c>
      <c r="D509" s="36" t="s">
        <v>239</v>
      </c>
      <c r="E509" s="36" t="s">
        <v>913</v>
      </c>
      <c r="F509" s="36"/>
      <c r="G509" s="37">
        <v>2796466.9975159406</v>
      </c>
      <c r="H509" s="38">
        <v>40330</v>
      </c>
      <c r="I509" s="39"/>
      <c r="J509" s="38">
        <v>31193</v>
      </c>
      <c r="K509" s="36">
        <f t="shared" si="38"/>
        <v>-85.405555555555551</v>
      </c>
      <c r="L509" s="36">
        <f t="shared" si="39"/>
        <v>-110.41944444444445</v>
      </c>
      <c r="M509" s="40" t="s">
        <v>34</v>
      </c>
      <c r="N509" s="34" t="str">
        <f t="shared" si="37"/>
        <v>TERMINO INDEFINIDO NUEVO</v>
      </c>
      <c r="O509" s="35">
        <v>131</v>
      </c>
      <c r="P509" s="35">
        <v>4</v>
      </c>
      <c r="Q509" s="35" t="s">
        <v>30</v>
      </c>
      <c r="R509" s="35">
        <v>23</v>
      </c>
      <c r="S509" s="94">
        <v>2</v>
      </c>
      <c r="T509" s="42">
        <v>7</v>
      </c>
    </row>
    <row r="510" spans="1:20">
      <c r="A510" s="25" t="s">
        <v>162</v>
      </c>
      <c r="B510" s="54" t="s">
        <v>949</v>
      </c>
      <c r="C510" s="25" t="s">
        <v>950</v>
      </c>
      <c r="D510" s="25" t="s">
        <v>165</v>
      </c>
      <c r="E510" s="25" t="s">
        <v>951</v>
      </c>
      <c r="F510" s="25"/>
      <c r="G510" s="26">
        <v>25016832</v>
      </c>
      <c r="H510" s="27">
        <v>34731</v>
      </c>
      <c r="I510" s="39"/>
      <c r="J510" s="27">
        <v>22128</v>
      </c>
      <c r="K510" s="25">
        <f>(DAYS360(J510,$K$1))/360</f>
        <v>-60.583333333333336</v>
      </c>
      <c r="L510" s="25">
        <f>(DAYS360(H510,$K$1))/360</f>
        <v>-95.086111111111109</v>
      </c>
      <c r="M510" s="29">
        <v>3</v>
      </c>
      <c r="N510" s="30" t="str">
        <f t="shared" si="37"/>
        <v>SALARIO INTEGRAL</v>
      </c>
      <c r="O510" s="29">
        <v>171</v>
      </c>
      <c r="P510" s="29">
        <v>4</v>
      </c>
      <c r="Q510" s="29" t="s">
        <v>30</v>
      </c>
      <c r="R510" s="29">
        <v>14</v>
      </c>
      <c r="S510" s="59">
        <v>6</v>
      </c>
      <c r="T510" s="32">
        <v>3</v>
      </c>
    </row>
    <row r="511" spans="1:20">
      <c r="A511" s="25" t="s">
        <v>139</v>
      </c>
      <c r="B511" s="54">
        <v>5333755</v>
      </c>
      <c r="C511" s="25" t="s">
        <v>952</v>
      </c>
      <c r="D511" s="25" t="s">
        <v>218</v>
      </c>
      <c r="E511" s="25" t="s">
        <v>951</v>
      </c>
      <c r="F511" s="25" t="s">
        <v>812</v>
      </c>
      <c r="G511" s="26">
        <v>3971698.242858639</v>
      </c>
      <c r="H511" s="81">
        <v>32701</v>
      </c>
      <c r="I511" s="100"/>
      <c r="J511" s="27">
        <v>23500</v>
      </c>
      <c r="K511" s="25">
        <f t="shared" ref="K511:K550" si="40">(DAYS360(J511,$K$1))/360</f>
        <v>-64.341666666666669</v>
      </c>
      <c r="L511" s="25">
        <f t="shared" ref="L511:L550" si="41">(DAYS360(H511,$K$1))/360</f>
        <v>-89.533333333333331</v>
      </c>
      <c r="M511" s="29">
        <v>2</v>
      </c>
      <c r="N511" s="30" t="str">
        <f t="shared" si="37"/>
        <v>TERMINO INDEFINIDO</v>
      </c>
      <c r="O511" s="29">
        <v>173</v>
      </c>
      <c r="P511" s="29">
        <v>3</v>
      </c>
      <c r="Q511" s="29" t="s">
        <v>30</v>
      </c>
      <c r="R511" s="29">
        <v>12</v>
      </c>
      <c r="S511" s="165">
        <v>3</v>
      </c>
      <c r="T511" s="32">
        <v>6</v>
      </c>
    </row>
    <row r="512" spans="1:20">
      <c r="A512" s="25" t="s">
        <v>134</v>
      </c>
      <c r="B512" s="54" t="s">
        <v>953</v>
      </c>
      <c r="C512" s="25" t="s">
        <v>954</v>
      </c>
      <c r="D512" s="25" t="s">
        <v>529</v>
      </c>
      <c r="E512" s="25" t="s">
        <v>951</v>
      </c>
      <c r="F512" s="25"/>
      <c r="G512" s="26">
        <v>5637209.9356840365</v>
      </c>
      <c r="H512" s="27">
        <v>35582</v>
      </c>
      <c r="I512" s="39"/>
      <c r="J512" s="27">
        <v>25042</v>
      </c>
      <c r="K512" s="25">
        <f t="shared" si="40"/>
        <v>-68.563888888888883</v>
      </c>
      <c r="L512" s="25">
        <f t="shared" si="41"/>
        <v>-97.419444444444451</v>
      </c>
      <c r="M512" s="29">
        <v>2</v>
      </c>
      <c r="N512" s="76" t="str">
        <f t="shared" si="37"/>
        <v>TERMINO INDEFINIDO</v>
      </c>
      <c r="O512" s="32">
        <v>172</v>
      </c>
      <c r="P512" s="32">
        <v>5</v>
      </c>
      <c r="Q512" s="29" t="s">
        <v>30</v>
      </c>
      <c r="R512" s="29">
        <v>12</v>
      </c>
      <c r="S512" s="59">
        <v>3</v>
      </c>
      <c r="T512" s="32">
        <v>6</v>
      </c>
    </row>
    <row r="513" spans="1:20">
      <c r="A513" s="25" t="s">
        <v>36</v>
      </c>
      <c r="B513" s="54">
        <v>1018403090</v>
      </c>
      <c r="C513" s="25" t="s">
        <v>955</v>
      </c>
      <c r="D513" s="25" t="s">
        <v>61</v>
      </c>
      <c r="E513" s="25" t="s">
        <v>951</v>
      </c>
      <c r="F513" s="25" t="s">
        <v>44</v>
      </c>
      <c r="G513" s="26">
        <v>3707009.4514301317</v>
      </c>
      <c r="H513" s="27">
        <v>41680</v>
      </c>
      <c r="I513" s="39"/>
      <c r="J513" s="27">
        <v>31385</v>
      </c>
      <c r="K513" s="25">
        <f t="shared" si="40"/>
        <v>-85.927777777777777</v>
      </c>
      <c r="L513" s="25">
        <f t="shared" si="41"/>
        <v>-114.11111111111111</v>
      </c>
      <c r="M513" s="40" t="s">
        <v>34</v>
      </c>
      <c r="N513" s="41" t="str">
        <f t="shared" si="37"/>
        <v>TERMINO INDEFINIDO NUEVO</v>
      </c>
      <c r="O513" s="32">
        <v>173</v>
      </c>
      <c r="P513" s="32">
        <v>3</v>
      </c>
      <c r="Q513" s="29" t="s">
        <v>35</v>
      </c>
      <c r="R513" s="29">
        <v>14</v>
      </c>
      <c r="S513" s="59">
        <v>3</v>
      </c>
      <c r="T513" s="32">
        <v>6</v>
      </c>
    </row>
    <row r="514" spans="1:20">
      <c r="A514" s="25" t="s">
        <v>36</v>
      </c>
      <c r="B514" s="54" t="s">
        <v>956</v>
      </c>
      <c r="C514" s="25" t="s">
        <v>957</v>
      </c>
      <c r="D514" s="25" t="s">
        <v>61</v>
      </c>
      <c r="E514" s="25" t="s">
        <v>951</v>
      </c>
      <c r="F514" s="25"/>
      <c r="G514" s="26">
        <v>3707009.4514301317</v>
      </c>
      <c r="H514" s="27">
        <v>35646</v>
      </c>
      <c r="I514" s="39"/>
      <c r="J514" s="27">
        <v>27392</v>
      </c>
      <c r="K514" s="25">
        <f t="shared" si="40"/>
        <v>-74.99722222222222</v>
      </c>
      <c r="L514" s="25">
        <f t="shared" si="41"/>
        <v>-97.594444444444449</v>
      </c>
      <c r="M514" s="29">
        <v>2</v>
      </c>
      <c r="N514" s="76" t="str">
        <f t="shared" si="37"/>
        <v>TERMINO INDEFINIDO</v>
      </c>
      <c r="O514" s="32">
        <v>172</v>
      </c>
      <c r="P514" s="32">
        <v>5</v>
      </c>
      <c r="Q514" s="29" t="s">
        <v>30</v>
      </c>
      <c r="R514" s="29">
        <v>14</v>
      </c>
      <c r="S514" s="59">
        <v>5</v>
      </c>
      <c r="T514" s="32">
        <v>6</v>
      </c>
    </row>
    <row r="515" spans="1:20">
      <c r="A515" s="62" t="s">
        <v>36</v>
      </c>
      <c r="B515" s="181">
        <v>1086140056</v>
      </c>
      <c r="C515" s="62" t="s">
        <v>958</v>
      </c>
      <c r="D515" s="62" t="s">
        <v>61</v>
      </c>
      <c r="E515" s="62" t="s">
        <v>951</v>
      </c>
      <c r="F515" s="62"/>
      <c r="G515" s="63">
        <v>3707009.4514301317</v>
      </c>
      <c r="H515" s="64">
        <v>43864</v>
      </c>
      <c r="I515" s="65"/>
      <c r="J515" s="64">
        <v>36070</v>
      </c>
      <c r="K515" s="62">
        <f t="shared" si="40"/>
        <v>-98.75555555555556</v>
      </c>
      <c r="L515" s="62">
        <f t="shared" si="41"/>
        <v>-120.09166666666667</v>
      </c>
      <c r="M515" s="66" t="s">
        <v>34</v>
      </c>
      <c r="N515" s="74" t="str">
        <f t="shared" si="37"/>
        <v>TERMINO INDEFINIDO NUEVO</v>
      </c>
      <c r="O515" s="69">
        <v>172</v>
      </c>
      <c r="P515" s="69">
        <v>4</v>
      </c>
      <c r="Q515" s="69" t="s">
        <v>35</v>
      </c>
      <c r="R515" s="69">
        <v>14</v>
      </c>
      <c r="S515" s="70"/>
      <c r="T515" s="68">
        <v>6</v>
      </c>
    </row>
    <row r="516" spans="1:20">
      <c r="A516" s="36" t="s">
        <v>36</v>
      </c>
      <c r="B516" s="71">
        <v>59177495</v>
      </c>
      <c r="C516" s="36" t="s">
        <v>959</v>
      </c>
      <c r="D516" s="36" t="s">
        <v>61</v>
      </c>
      <c r="E516" s="36" t="s">
        <v>951</v>
      </c>
      <c r="F516" s="36"/>
      <c r="G516" s="37">
        <v>3707009.4514301317</v>
      </c>
      <c r="H516" s="38">
        <v>40940</v>
      </c>
      <c r="I516" s="39"/>
      <c r="J516" s="38">
        <v>29125</v>
      </c>
      <c r="K516" s="36">
        <f t="shared" si="40"/>
        <v>-79.74166666666666</v>
      </c>
      <c r="L516" s="36">
        <f t="shared" si="41"/>
        <v>-112.08611111111111</v>
      </c>
      <c r="M516" s="40" t="s">
        <v>34</v>
      </c>
      <c r="N516" s="34" t="str">
        <f t="shared" si="37"/>
        <v>TERMINO INDEFINIDO NUEVO</v>
      </c>
      <c r="O516" s="35">
        <v>172</v>
      </c>
      <c r="P516" s="35">
        <v>5</v>
      </c>
      <c r="Q516" s="35" t="s">
        <v>35</v>
      </c>
      <c r="R516" s="35">
        <v>14</v>
      </c>
      <c r="S516" s="94">
        <v>5</v>
      </c>
      <c r="T516" s="42">
        <v>6</v>
      </c>
    </row>
    <row r="517" spans="1:20">
      <c r="A517" s="25" t="s">
        <v>149</v>
      </c>
      <c r="B517" s="30">
        <v>87573702</v>
      </c>
      <c r="C517" s="29" t="s">
        <v>960</v>
      </c>
      <c r="D517" s="25" t="s">
        <v>151</v>
      </c>
      <c r="E517" s="25" t="s">
        <v>951</v>
      </c>
      <c r="F517" s="25"/>
      <c r="G517" s="26">
        <v>3415094.5981706623</v>
      </c>
      <c r="H517" s="27">
        <v>46035</v>
      </c>
      <c r="I517" s="28">
        <v>46295</v>
      </c>
      <c r="J517" s="27">
        <v>27198</v>
      </c>
      <c r="K517" s="25">
        <f t="shared" si="40"/>
        <v>-74.466666666666669</v>
      </c>
      <c r="L517" s="25">
        <f t="shared" si="41"/>
        <v>-126.03611111111111</v>
      </c>
      <c r="M517" s="73">
        <v>1</v>
      </c>
      <c r="N517" s="76" t="str">
        <f t="shared" si="37"/>
        <v>TERMINO FIJO</v>
      </c>
      <c r="O517" s="32">
        <v>171</v>
      </c>
      <c r="P517" s="32">
        <v>4</v>
      </c>
      <c r="Q517" s="29" t="s">
        <v>30</v>
      </c>
      <c r="R517" s="29">
        <v>14</v>
      </c>
      <c r="S517" s="59">
        <v>3</v>
      </c>
      <c r="T517" s="32">
        <v>6</v>
      </c>
    </row>
    <row r="518" spans="1:20">
      <c r="A518" s="25" t="s">
        <v>409</v>
      </c>
      <c r="B518" s="54" t="s">
        <v>961</v>
      </c>
      <c r="C518" s="25" t="s">
        <v>962</v>
      </c>
      <c r="D518" s="25" t="s">
        <v>411</v>
      </c>
      <c r="E518" s="25" t="s">
        <v>951</v>
      </c>
      <c r="F518" s="25" t="s">
        <v>812</v>
      </c>
      <c r="G518" s="26">
        <v>3231586.9520465797</v>
      </c>
      <c r="H518" s="27">
        <v>34866</v>
      </c>
      <c r="I518" s="39"/>
      <c r="J518" s="27">
        <v>24857</v>
      </c>
      <c r="K518" s="25">
        <f t="shared" si="40"/>
        <v>-68.055555555555557</v>
      </c>
      <c r="L518" s="25">
        <f t="shared" si="41"/>
        <v>-95.461111111111109</v>
      </c>
      <c r="M518" s="29">
        <v>2</v>
      </c>
      <c r="N518" s="76" t="str">
        <f t="shared" si="37"/>
        <v>TERMINO INDEFINIDO</v>
      </c>
      <c r="O518" s="32">
        <v>173</v>
      </c>
      <c r="P518" s="32">
        <v>5</v>
      </c>
      <c r="Q518" s="29" t="s">
        <v>30</v>
      </c>
      <c r="R518" s="29">
        <v>12</v>
      </c>
      <c r="S518" s="59"/>
      <c r="T518" s="32">
        <v>5</v>
      </c>
    </row>
    <row r="519" spans="1:20">
      <c r="A519" s="114" t="s">
        <v>56</v>
      </c>
      <c r="B519" s="71">
        <v>18157334</v>
      </c>
      <c r="C519" s="36" t="s">
        <v>963</v>
      </c>
      <c r="D519" s="36" t="s">
        <v>275</v>
      </c>
      <c r="E519" s="36" t="s">
        <v>951</v>
      </c>
      <c r="F519" s="36"/>
      <c r="G519" s="37">
        <v>3231586.9520465797</v>
      </c>
      <c r="H519" s="38">
        <v>41290</v>
      </c>
      <c r="I519" s="39"/>
      <c r="J519" s="38">
        <v>30248</v>
      </c>
      <c r="K519" s="36">
        <f t="shared" si="40"/>
        <v>-82.816666666666663</v>
      </c>
      <c r="L519" s="36">
        <f t="shared" si="41"/>
        <v>-113.04444444444445</v>
      </c>
      <c r="M519" s="40" t="s">
        <v>34</v>
      </c>
      <c r="N519" s="41" t="str">
        <f t="shared" si="37"/>
        <v>TERMINO INDEFINIDO NUEVO</v>
      </c>
      <c r="O519" s="42">
        <v>172</v>
      </c>
      <c r="P519" s="42">
        <v>5</v>
      </c>
      <c r="Q519" s="35" t="s">
        <v>30</v>
      </c>
      <c r="R519" s="35">
        <v>12</v>
      </c>
      <c r="S519" s="94">
        <v>3</v>
      </c>
      <c r="T519" s="42">
        <v>5</v>
      </c>
    </row>
    <row r="520" spans="1:20">
      <c r="A520" s="114" t="s">
        <v>56</v>
      </c>
      <c r="B520" s="71">
        <v>87574008</v>
      </c>
      <c r="C520" s="36" t="s">
        <v>964</v>
      </c>
      <c r="D520" s="36" t="s">
        <v>275</v>
      </c>
      <c r="E520" s="36" t="s">
        <v>951</v>
      </c>
      <c r="F520" s="36"/>
      <c r="G520" s="37">
        <v>3231586.9520465797</v>
      </c>
      <c r="H520" s="38">
        <v>39387</v>
      </c>
      <c r="I520" s="39"/>
      <c r="J520" s="38">
        <v>29345</v>
      </c>
      <c r="K520" s="36">
        <f t="shared" si="40"/>
        <v>-80.344444444444449</v>
      </c>
      <c r="L520" s="36">
        <f t="shared" si="41"/>
        <v>-107.83611111111111</v>
      </c>
      <c r="M520" s="40" t="s">
        <v>34</v>
      </c>
      <c r="N520" s="41" t="str">
        <f t="shared" si="37"/>
        <v>TERMINO INDEFINIDO NUEVO</v>
      </c>
      <c r="O520" s="42">
        <v>172</v>
      </c>
      <c r="P520" s="42">
        <v>5</v>
      </c>
      <c r="Q520" s="35" t="s">
        <v>30</v>
      </c>
      <c r="R520" s="35">
        <v>12</v>
      </c>
      <c r="S520" s="94">
        <v>5</v>
      </c>
      <c r="T520" s="42">
        <v>5</v>
      </c>
    </row>
    <row r="521" spans="1:20">
      <c r="A521" s="114" t="s">
        <v>56</v>
      </c>
      <c r="B521" s="71">
        <v>87571556</v>
      </c>
      <c r="C521" s="36" t="s">
        <v>965</v>
      </c>
      <c r="D521" s="36" t="s">
        <v>275</v>
      </c>
      <c r="E521" s="36" t="s">
        <v>951</v>
      </c>
      <c r="F521" s="36"/>
      <c r="G521" s="37">
        <v>3231586.9520465797</v>
      </c>
      <c r="H521" s="38">
        <v>39773</v>
      </c>
      <c r="I521" s="39"/>
      <c r="J521" s="38">
        <v>24752</v>
      </c>
      <c r="K521" s="36">
        <f t="shared" si="40"/>
        <v>-67.769444444444446</v>
      </c>
      <c r="L521" s="36">
        <f t="shared" si="41"/>
        <v>-108.89166666666667</v>
      </c>
      <c r="M521" s="40" t="s">
        <v>34</v>
      </c>
      <c r="N521" s="41" t="str">
        <f t="shared" ref="N521:N584" si="42">IF(M521=3,"SALARIO INTEGRAL",IF(M521=2,"TERMINO INDEFINIDO",IF(M521=1,"TERMINO FIJO",IF(M521="2_N","TERMINO INDEFINIDO NUEVO","OTRO"))))</f>
        <v>TERMINO INDEFINIDO NUEVO</v>
      </c>
      <c r="O521" s="42">
        <v>172</v>
      </c>
      <c r="P521" s="42">
        <v>5</v>
      </c>
      <c r="Q521" s="35" t="s">
        <v>30</v>
      </c>
      <c r="R521" s="35">
        <v>12</v>
      </c>
      <c r="S521" s="94">
        <v>3</v>
      </c>
      <c r="T521" s="42">
        <v>5</v>
      </c>
    </row>
    <row r="522" spans="1:20">
      <c r="A522" s="114" t="s">
        <v>56</v>
      </c>
      <c r="B522" s="71">
        <v>87574197</v>
      </c>
      <c r="C522" s="36" t="s">
        <v>966</v>
      </c>
      <c r="D522" s="36" t="s">
        <v>275</v>
      </c>
      <c r="E522" s="36" t="s">
        <v>951</v>
      </c>
      <c r="F522" s="36"/>
      <c r="G522" s="37">
        <v>3231586.9520465797</v>
      </c>
      <c r="H522" s="38">
        <v>40294</v>
      </c>
      <c r="I522" s="39"/>
      <c r="J522" s="38">
        <v>29243</v>
      </c>
      <c r="K522" s="36">
        <f t="shared" si="40"/>
        <v>-80.063888888888883</v>
      </c>
      <c r="L522" s="36">
        <f t="shared" si="41"/>
        <v>-110.32222222222222</v>
      </c>
      <c r="M522" s="40" t="s">
        <v>34</v>
      </c>
      <c r="N522" s="41" t="str">
        <f t="shared" si="42"/>
        <v>TERMINO INDEFINIDO NUEVO</v>
      </c>
      <c r="O522" s="42">
        <v>172</v>
      </c>
      <c r="P522" s="42">
        <v>5</v>
      </c>
      <c r="Q522" s="35" t="s">
        <v>30</v>
      </c>
      <c r="R522" s="35">
        <v>12</v>
      </c>
      <c r="S522" s="94">
        <v>3</v>
      </c>
      <c r="T522" s="42">
        <v>5</v>
      </c>
    </row>
    <row r="523" spans="1:20">
      <c r="A523" s="36" t="s">
        <v>331</v>
      </c>
      <c r="B523" s="71">
        <v>1086135409</v>
      </c>
      <c r="C523" s="36" t="s">
        <v>967</v>
      </c>
      <c r="D523" s="36" t="s">
        <v>353</v>
      </c>
      <c r="E523" s="36" t="s">
        <v>951</v>
      </c>
      <c r="F523" s="36"/>
      <c r="G523" s="37">
        <v>3120218.4554910217</v>
      </c>
      <c r="H523" s="38">
        <v>40422</v>
      </c>
      <c r="I523" s="39"/>
      <c r="J523" s="38">
        <v>26675</v>
      </c>
      <c r="K523" s="36">
        <f t="shared" si="40"/>
        <v>-73.030555555555551</v>
      </c>
      <c r="L523" s="36">
        <f t="shared" si="41"/>
        <v>-110.66944444444445</v>
      </c>
      <c r="M523" s="40" t="s">
        <v>34</v>
      </c>
      <c r="N523" s="41" t="str">
        <f t="shared" si="42"/>
        <v>TERMINO INDEFINIDO NUEVO</v>
      </c>
      <c r="O523" s="42">
        <v>173</v>
      </c>
      <c r="P523" s="42">
        <v>3</v>
      </c>
      <c r="Q523" s="35" t="s">
        <v>30</v>
      </c>
      <c r="R523" s="35">
        <v>12</v>
      </c>
      <c r="S523" s="94">
        <v>3</v>
      </c>
      <c r="T523" s="42">
        <v>5</v>
      </c>
    </row>
    <row r="524" spans="1:20">
      <c r="A524" s="36" t="s">
        <v>331</v>
      </c>
      <c r="B524" s="71">
        <v>1086135109</v>
      </c>
      <c r="C524" s="36" t="s">
        <v>968</v>
      </c>
      <c r="D524" s="36" t="s">
        <v>353</v>
      </c>
      <c r="E524" s="36" t="s">
        <v>951</v>
      </c>
      <c r="F524" s="36"/>
      <c r="G524" s="37">
        <v>3120218.4554910217</v>
      </c>
      <c r="H524" s="38">
        <v>40391</v>
      </c>
      <c r="I524" s="39"/>
      <c r="J524" s="38">
        <v>32739</v>
      </c>
      <c r="K524" s="36">
        <f t="shared" si="40"/>
        <v>-89.636111111111106</v>
      </c>
      <c r="L524" s="36">
        <f t="shared" si="41"/>
        <v>-110.58611111111111</v>
      </c>
      <c r="M524" s="40" t="s">
        <v>34</v>
      </c>
      <c r="N524" s="41" t="str">
        <f t="shared" si="42"/>
        <v>TERMINO INDEFINIDO NUEVO</v>
      </c>
      <c r="O524" s="42">
        <v>173</v>
      </c>
      <c r="P524" s="42">
        <v>3</v>
      </c>
      <c r="Q524" s="35" t="s">
        <v>30</v>
      </c>
      <c r="R524" s="35">
        <v>12</v>
      </c>
      <c r="S524" s="94">
        <v>3</v>
      </c>
      <c r="T524" s="42">
        <v>5</v>
      </c>
    </row>
    <row r="525" spans="1:20">
      <c r="A525" s="62" t="s">
        <v>331</v>
      </c>
      <c r="B525" s="61">
        <v>1086133196</v>
      </c>
      <c r="C525" s="62" t="s">
        <v>969</v>
      </c>
      <c r="D525" s="62" t="s">
        <v>353</v>
      </c>
      <c r="E525" s="62" t="s">
        <v>951</v>
      </c>
      <c r="F525" s="62"/>
      <c r="G525" s="63">
        <v>3120218.4554910217</v>
      </c>
      <c r="H525" s="64">
        <v>44399</v>
      </c>
      <c r="I525" s="65"/>
      <c r="J525" s="64">
        <v>31825</v>
      </c>
      <c r="K525" s="62">
        <f t="shared" si="40"/>
        <v>-87.13055555555556</v>
      </c>
      <c r="L525" s="62">
        <f t="shared" si="41"/>
        <v>-121.56111111111112</v>
      </c>
      <c r="M525" s="66" t="s">
        <v>34</v>
      </c>
      <c r="N525" s="67" t="str">
        <f t="shared" si="42"/>
        <v>TERMINO INDEFINIDO NUEVO</v>
      </c>
      <c r="O525" s="68">
        <v>173</v>
      </c>
      <c r="P525" s="68">
        <v>3</v>
      </c>
      <c r="Q525" s="69" t="s">
        <v>30</v>
      </c>
      <c r="R525" s="69">
        <v>12</v>
      </c>
      <c r="S525" s="70">
        <v>3</v>
      </c>
      <c r="T525" s="68">
        <v>5</v>
      </c>
    </row>
    <row r="526" spans="1:20">
      <c r="A526" s="36" t="s">
        <v>286</v>
      </c>
      <c r="B526" s="71">
        <v>79485871</v>
      </c>
      <c r="C526" s="36" t="s">
        <v>970</v>
      </c>
      <c r="D526" s="36" t="s">
        <v>288</v>
      </c>
      <c r="E526" s="36" t="s">
        <v>951</v>
      </c>
      <c r="F526" s="36" t="s">
        <v>971</v>
      </c>
      <c r="G526" s="37">
        <v>2786824.7655346259</v>
      </c>
      <c r="H526" s="38">
        <v>42772</v>
      </c>
      <c r="I526" s="39"/>
      <c r="J526" s="38">
        <v>25276</v>
      </c>
      <c r="K526" s="36">
        <f t="shared" si="40"/>
        <v>-69.205555555555549</v>
      </c>
      <c r="L526" s="36">
        <f t="shared" si="41"/>
        <v>-117.1</v>
      </c>
      <c r="M526" s="40" t="s">
        <v>34</v>
      </c>
      <c r="N526" s="41" t="str">
        <f t="shared" si="42"/>
        <v>TERMINO INDEFINIDO NUEVO</v>
      </c>
      <c r="O526" s="42">
        <v>173</v>
      </c>
      <c r="P526" s="42">
        <v>3</v>
      </c>
      <c r="Q526" s="35" t="s">
        <v>30</v>
      </c>
      <c r="R526" s="35">
        <v>12</v>
      </c>
      <c r="S526" s="94">
        <v>3</v>
      </c>
      <c r="T526" s="42">
        <v>5</v>
      </c>
    </row>
    <row r="527" spans="1:20">
      <c r="A527" s="25" t="s">
        <v>750</v>
      </c>
      <c r="B527" s="54" t="s">
        <v>972</v>
      </c>
      <c r="C527" s="25" t="s">
        <v>973</v>
      </c>
      <c r="D527" s="25" t="s">
        <v>752</v>
      </c>
      <c r="E527" s="25" t="s">
        <v>951</v>
      </c>
      <c r="F527" s="25"/>
      <c r="G527" s="26">
        <v>3070817.9676911691</v>
      </c>
      <c r="H527" s="27">
        <v>36586</v>
      </c>
      <c r="I527" s="39"/>
      <c r="J527" s="27">
        <v>22148</v>
      </c>
      <c r="K527" s="25">
        <f t="shared" si="40"/>
        <v>-60.638888888888886</v>
      </c>
      <c r="L527" s="25">
        <f t="shared" si="41"/>
        <v>-100.16944444444445</v>
      </c>
      <c r="M527" s="29">
        <v>2</v>
      </c>
      <c r="N527" s="76" t="str">
        <f t="shared" si="42"/>
        <v>TERMINO INDEFINIDO</v>
      </c>
      <c r="O527" s="32">
        <v>174</v>
      </c>
      <c r="P527" s="32">
        <v>1</v>
      </c>
      <c r="Q527" s="29" t="s">
        <v>30</v>
      </c>
      <c r="R527" s="29">
        <v>12</v>
      </c>
      <c r="S527" s="59">
        <v>2</v>
      </c>
      <c r="T527" s="32">
        <v>7</v>
      </c>
    </row>
    <row r="528" spans="1:20">
      <c r="A528" s="25" t="s">
        <v>750</v>
      </c>
      <c r="B528" s="109">
        <v>38565940</v>
      </c>
      <c r="C528" s="25" t="s">
        <v>974</v>
      </c>
      <c r="D528" s="25" t="s">
        <v>752</v>
      </c>
      <c r="E528" s="25" t="s">
        <v>951</v>
      </c>
      <c r="F528" s="25" t="s">
        <v>693</v>
      </c>
      <c r="G528" s="26">
        <v>3070817.9676911691</v>
      </c>
      <c r="H528" s="27">
        <v>46126</v>
      </c>
      <c r="I528" s="28">
        <v>46295</v>
      </c>
      <c r="J528" s="27">
        <v>29935</v>
      </c>
      <c r="K528" s="25">
        <f t="shared" si="40"/>
        <v>-81.958333333333329</v>
      </c>
      <c r="L528" s="25">
        <f t="shared" si="41"/>
        <v>-126.28888888888889</v>
      </c>
      <c r="M528" s="29">
        <v>1</v>
      </c>
      <c r="N528" s="76" t="str">
        <f t="shared" si="42"/>
        <v>TERMINO FIJO</v>
      </c>
      <c r="O528" s="32">
        <v>174</v>
      </c>
      <c r="P528" s="32">
        <v>5</v>
      </c>
      <c r="Q528" s="29" t="s">
        <v>35</v>
      </c>
      <c r="R528" s="29">
        <v>14</v>
      </c>
      <c r="S528" s="59">
        <v>3</v>
      </c>
      <c r="T528" s="32">
        <v>4</v>
      </c>
    </row>
    <row r="529" spans="1:20" ht="42">
      <c r="A529" s="44" t="s">
        <v>511</v>
      </c>
      <c r="B529" s="112" t="s">
        <v>975</v>
      </c>
      <c r="C529" s="112" t="s">
        <v>976</v>
      </c>
      <c r="D529" s="44" t="s">
        <v>514</v>
      </c>
      <c r="E529" s="44" t="s">
        <v>977</v>
      </c>
      <c r="F529" s="44"/>
      <c r="G529" s="46">
        <v>2802739.1336794067</v>
      </c>
      <c r="H529" s="47">
        <v>45309</v>
      </c>
      <c r="I529" s="48"/>
      <c r="J529" s="47">
        <v>28819</v>
      </c>
      <c r="K529" s="44">
        <f t="shared" si="40"/>
        <v>-78.902777777777771</v>
      </c>
      <c r="L529" s="44">
        <f t="shared" si="41"/>
        <v>-124.05</v>
      </c>
      <c r="M529" s="49" t="s">
        <v>34</v>
      </c>
      <c r="N529" s="106" t="str">
        <f t="shared" si="42"/>
        <v>TERMINO INDEFINIDO NUEVO</v>
      </c>
      <c r="O529" s="53">
        <v>177</v>
      </c>
      <c r="P529" s="53">
        <v>5</v>
      </c>
      <c r="Q529" s="51" t="s">
        <v>30</v>
      </c>
      <c r="R529" s="51">
        <v>12</v>
      </c>
      <c r="S529" s="97">
        <v>3</v>
      </c>
      <c r="T529" s="53">
        <v>5</v>
      </c>
    </row>
    <row r="530" spans="1:20">
      <c r="A530" s="36" t="s">
        <v>511</v>
      </c>
      <c r="B530" s="71">
        <v>98334469</v>
      </c>
      <c r="C530" s="36" t="s">
        <v>978</v>
      </c>
      <c r="D530" s="36" t="s">
        <v>650</v>
      </c>
      <c r="E530" s="36" t="s">
        <v>979</v>
      </c>
      <c r="F530" s="36"/>
      <c r="G530" s="37">
        <v>2802739.1336794067</v>
      </c>
      <c r="H530" s="38">
        <v>42844</v>
      </c>
      <c r="I530" s="39"/>
      <c r="J530" s="38">
        <v>27249</v>
      </c>
      <c r="K530" s="36">
        <f t="shared" si="40"/>
        <v>-74.605555555555554</v>
      </c>
      <c r="L530" s="36">
        <f t="shared" si="41"/>
        <v>-117.30277777777778</v>
      </c>
      <c r="M530" s="40" t="s">
        <v>34</v>
      </c>
      <c r="N530" s="41" t="str">
        <f t="shared" si="42"/>
        <v>TERMINO INDEFINIDO NUEVO</v>
      </c>
      <c r="O530" s="42">
        <v>177</v>
      </c>
      <c r="P530" s="42">
        <v>5</v>
      </c>
      <c r="Q530" s="35" t="s">
        <v>30</v>
      </c>
      <c r="R530" s="35">
        <v>12</v>
      </c>
      <c r="S530" s="94">
        <v>3</v>
      </c>
      <c r="T530" s="42">
        <v>5</v>
      </c>
    </row>
    <row r="531" spans="1:20">
      <c r="A531" s="25" t="s">
        <v>511</v>
      </c>
      <c r="B531" s="54" t="s">
        <v>980</v>
      </c>
      <c r="C531" s="25" t="s">
        <v>981</v>
      </c>
      <c r="D531" s="25" t="s">
        <v>650</v>
      </c>
      <c r="E531" s="25" t="s">
        <v>982</v>
      </c>
      <c r="F531" s="25"/>
      <c r="G531" s="26">
        <v>2802739.1336794067</v>
      </c>
      <c r="H531" s="27">
        <v>33736</v>
      </c>
      <c r="I531" s="39"/>
      <c r="J531" s="27">
        <v>24162</v>
      </c>
      <c r="K531" s="25">
        <f t="shared" si="40"/>
        <v>-66.150000000000006</v>
      </c>
      <c r="L531" s="25">
        <f t="shared" si="41"/>
        <v>-92.36666666666666</v>
      </c>
      <c r="M531" s="29">
        <v>2</v>
      </c>
      <c r="N531" s="76" t="str">
        <f t="shared" si="42"/>
        <v>TERMINO INDEFINIDO</v>
      </c>
      <c r="O531" s="32">
        <v>177</v>
      </c>
      <c r="P531" s="32">
        <v>5</v>
      </c>
      <c r="Q531" s="29" t="s">
        <v>30</v>
      </c>
      <c r="R531" s="29">
        <v>12</v>
      </c>
      <c r="S531" s="59">
        <v>3</v>
      </c>
      <c r="T531" s="32">
        <v>5</v>
      </c>
    </row>
    <row r="532" spans="1:20">
      <c r="A532" s="36" t="s">
        <v>511</v>
      </c>
      <c r="B532" s="71">
        <v>87455412</v>
      </c>
      <c r="C532" s="36" t="s">
        <v>983</v>
      </c>
      <c r="D532" s="36" t="s">
        <v>650</v>
      </c>
      <c r="E532" s="36" t="s">
        <v>984</v>
      </c>
      <c r="F532" s="36"/>
      <c r="G532" s="37">
        <v>2802739.1336794067</v>
      </c>
      <c r="H532" s="38">
        <v>42835</v>
      </c>
      <c r="I532" s="39"/>
      <c r="J532" s="38">
        <v>30158</v>
      </c>
      <c r="K532" s="36">
        <f t="shared" si="40"/>
        <v>-82.572222222222223</v>
      </c>
      <c r="L532" s="36">
        <f t="shared" si="41"/>
        <v>-117.27777777777777</v>
      </c>
      <c r="M532" s="40" t="s">
        <v>34</v>
      </c>
      <c r="N532" s="41" t="str">
        <f t="shared" si="42"/>
        <v>TERMINO INDEFINIDO NUEVO</v>
      </c>
      <c r="O532" s="42">
        <v>177</v>
      </c>
      <c r="P532" s="42">
        <v>5</v>
      </c>
      <c r="Q532" s="35" t="s">
        <v>30</v>
      </c>
      <c r="R532" s="35">
        <v>12</v>
      </c>
      <c r="S532" s="94">
        <v>3</v>
      </c>
      <c r="T532" s="42">
        <v>5</v>
      </c>
    </row>
    <row r="533" spans="1:20">
      <c r="A533" s="36" t="s">
        <v>511</v>
      </c>
      <c r="B533" s="71">
        <v>98333235</v>
      </c>
      <c r="C533" s="36" t="s">
        <v>985</v>
      </c>
      <c r="D533" s="36" t="s">
        <v>514</v>
      </c>
      <c r="E533" s="36" t="s">
        <v>986</v>
      </c>
      <c r="F533" s="36"/>
      <c r="G533" s="37">
        <v>2802739.1336794067</v>
      </c>
      <c r="H533" s="38">
        <v>40026</v>
      </c>
      <c r="I533" s="39"/>
      <c r="J533" s="38">
        <v>25105</v>
      </c>
      <c r="K533" s="36">
        <f t="shared" si="40"/>
        <v>-68.733333333333334</v>
      </c>
      <c r="L533" s="36">
        <f t="shared" si="41"/>
        <v>-109.58611111111111</v>
      </c>
      <c r="M533" s="40" t="s">
        <v>34</v>
      </c>
      <c r="N533" s="41" t="str">
        <f t="shared" si="42"/>
        <v>TERMINO INDEFINIDO NUEVO</v>
      </c>
      <c r="O533" s="42">
        <v>177</v>
      </c>
      <c r="P533" s="42">
        <v>5</v>
      </c>
      <c r="Q533" s="35" t="s">
        <v>30</v>
      </c>
      <c r="R533" s="35">
        <v>12</v>
      </c>
      <c r="S533" s="94">
        <v>3</v>
      </c>
      <c r="T533" s="42">
        <v>5</v>
      </c>
    </row>
    <row r="534" spans="1:20">
      <c r="A534" s="36"/>
      <c r="B534" s="54">
        <v>5250462</v>
      </c>
      <c r="C534" s="25" t="s">
        <v>987</v>
      </c>
      <c r="D534" s="25" t="s">
        <v>650</v>
      </c>
      <c r="E534" s="25" t="s">
        <v>979</v>
      </c>
      <c r="F534" s="25"/>
      <c r="G534" s="26">
        <v>2802739.1336794067</v>
      </c>
      <c r="H534" s="27">
        <v>30074</v>
      </c>
      <c r="I534" s="39"/>
      <c r="J534" s="27">
        <v>22930</v>
      </c>
      <c r="K534" s="25">
        <f t="shared" si="40"/>
        <v>-62.780555555555559</v>
      </c>
      <c r="L534" s="25">
        <f t="shared" si="41"/>
        <v>-82.341666666666669</v>
      </c>
      <c r="M534" s="29">
        <v>2</v>
      </c>
      <c r="N534" s="76" t="str">
        <f t="shared" si="42"/>
        <v>TERMINO INDEFINIDO</v>
      </c>
      <c r="O534" s="32">
        <v>177</v>
      </c>
      <c r="P534" s="32">
        <v>5</v>
      </c>
      <c r="Q534" s="29" t="s">
        <v>30</v>
      </c>
      <c r="R534" s="29">
        <v>12</v>
      </c>
      <c r="S534" s="59">
        <v>2</v>
      </c>
      <c r="T534" s="32">
        <v>5</v>
      </c>
    </row>
    <row r="535" spans="1:20">
      <c r="A535" s="25" t="s">
        <v>511</v>
      </c>
      <c r="B535" s="54" t="s">
        <v>988</v>
      </c>
      <c r="C535" s="25" t="s">
        <v>989</v>
      </c>
      <c r="D535" s="25" t="s">
        <v>650</v>
      </c>
      <c r="E535" s="25" t="s">
        <v>990</v>
      </c>
      <c r="F535" s="25" t="s">
        <v>991</v>
      </c>
      <c r="G535" s="26">
        <v>2802739.1336794067</v>
      </c>
      <c r="H535" s="27">
        <v>33179</v>
      </c>
      <c r="I535" s="39"/>
      <c r="J535" s="27">
        <v>24702</v>
      </c>
      <c r="K535" s="25">
        <f t="shared" si="40"/>
        <v>-67.63333333333334</v>
      </c>
      <c r="L535" s="25">
        <f t="shared" si="41"/>
        <v>-90.838888888888889</v>
      </c>
      <c r="M535" s="29">
        <v>2</v>
      </c>
      <c r="N535" s="76" t="str">
        <f t="shared" si="42"/>
        <v>TERMINO INDEFINIDO</v>
      </c>
      <c r="O535" s="32">
        <v>177</v>
      </c>
      <c r="P535" s="32">
        <v>5</v>
      </c>
      <c r="Q535" s="29" t="s">
        <v>30</v>
      </c>
      <c r="R535" s="29">
        <v>12</v>
      </c>
      <c r="S535" s="59">
        <v>2</v>
      </c>
      <c r="T535" s="32">
        <v>5</v>
      </c>
    </row>
    <row r="536" spans="1:20">
      <c r="A536" s="25" t="s">
        <v>511</v>
      </c>
      <c r="B536" s="54">
        <v>87574820</v>
      </c>
      <c r="C536" s="25" t="s">
        <v>992</v>
      </c>
      <c r="D536" s="25" t="s">
        <v>514</v>
      </c>
      <c r="E536" s="25" t="s">
        <v>993</v>
      </c>
      <c r="F536" s="25"/>
      <c r="G536" s="26">
        <v>2802739.1336794067</v>
      </c>
      <c r="H536" s="27">
        <v>45885</v>
      </c>
      <c r="I536" s="28">
        <v>46387</v>
      </c>
      <c r="J536" s="27">
        <v>30486</v>
      </c>
      <c r="K536" s="25">
        <f t="shared" si="40"/>
        <v>-83.469444444444449</v>
      </c>
      <c r="L536" s="25">
        <f t="shared" si="41"/>
        <v>-125.62777777777778</v>
      </c>
      <c r="M536" s="29">
        <v>1</v>
      </c>
      <c r="N536" s="76" t="str">
        <f t="shared" si="42"/>
        <v>TERMINO FIJO</v>
      </c>
      <c r="O536" s="32">
        <v>177</v>
      </c>
      <c r="P536" s="32">
        <v>5</v>
      </c>
      <c r="Q536" s="29" t="s">
        <v>30</v>
      </c>
      <c r="R536" s="29">
        <v>12</v>
      </c>
      <c r="S536" s="59">
        <v>3</v>
      </c>
      <c r="T536" s="32">
        <v>5</v>
      </c>
    </row>
    <row r="537" spans="1:20">
      <c r="A537" s="25" t="s">
        <v>511</v>
      </c>
      <c r="B537" s="54">
        <v>1143846307</v>
      </c>
      <c r="C537" s="25" t="s">
        <v>994</v>
      </c>
      <c r="D537" s="25" t="s">
        <v>650</v>
      </c>
      <c r="E537" s="25" t="s">
        <v>977</v>
      </c>
      <c r="F537" s="25"/>
      <c r="G537" s="26">
        <v>2802739.1336794067</v>
      </c>
      <c r="H537" s="27">
        <v>46240</v>
      </c>
      <c r="I537" s="28">
        <v>46295</v>
      </c>
      <c r="J537" s="27">
        <v>33934</v>
      </c>
      <c r="K537" s="25">
        <f t="shared" si="40"/>
        <v>-92.905555555555551</v>
      </c>
      <c r="L537" s="25">
        <f t="shared" si="41"/>
        <v>-126.6</v>
      </c>
      <c r="M537" s="73">
        <v>1</v>
      </c>
      <c r="N537" s="76" t="str">
        <f t="shared" si="42"/>
        <v>TERMINO FIJO</v>
      </c>
      <c r="O537" s="32">
        <v>177</v>
      </c>
      <c r="P537" s="32">
        <v>5</v>
      </c>
      <c r="Q537" s="29" t="s">
        <v>30</v>
      </c>
      <c r="R537" s="29">
        <v>12</v>
      </c>
      <c r="S537" s="59">
        <v>3</v>
      </c>
      <c r="T537" s="32">
        <v>5</v>
      </c>
    </row>
    <row r="538" spans="1:20">
      <c r="A538" s="36" t="s">
        <v>511</v>
      </c>
      <c r="B538" s="71">
        <v>87574424</v>
      </c>
      <c r="C538" s="36" t="s">
        <v>995</v>
      </c>
      <c r="D538" s="36" t="s">
        <v>514</v>
      </c>
      <c r="E538" s="36" t="s">
        <v>990</v>
      </c>
      <c r="F538" s="36"/>
      <c r="G538" s="37">
        <v>2802739.1336794067</v>
      </c>
      <c r="H538" s="38">
        <v>41771</v>
      </c>
      <c r="I538" s="39"/>
      <c r="J538" s="38">
        <v>29484</v>
      </c>
      <c r="K538" s="36">
        <f t="shared" si="40"/>
        <v>-80.722222222222229</v>
      </c>
      <c r="L538" s="36">
        <f t="shared" si="41"/>
        <v>-114.36666666666666</v>
      </c>
      <c r="M538" s="40" t="s">
        <v>34</v>
      </c>
      <c r="N538" s="41" t="str">
        <f t="shared" si="42"/>
        <v>TERMINO INDEFINIDO NUEVO</v>
      </c>
      <c r="O538" s="42">
        <v>172</v>
      </c>
      <c r="P538" s="42">
        <v>5</v>
      </c>
      <c r="Q538" s="35" t="s">
        <v>30</v>
      </c>
      <c r="R538" s="35">
        <v>12</v>
      </c>
      <c r="S538" s="94">
        <v>3</v>
      </c>
      <c r="T538" s="42">
        <v>5</v>
      </c>
    </row>
    <row r="539" spans="1:20">
      <c r="A539" s="36" t="s">
        <v>511</v>
      </c>
      <c r="B539" s="71">
        <v>98348685</v>
      </c>
      <c r="C539" s="36" t="s">
        <v>996</v>
      </c>
      <c r="D539" s="36" t="s">
        <v>514</v>
      </c>
      <c r="E539" s="36" t="s">
        <v>997</v>
      </c>
      <c r="F539" s="36"/>
      <c r="G539" s="37">
        <v>2802739.1336794067</v>
      </c>
      <c r="H539" s="38">
        <v>39539</v>
      </c>
      <c r="I539" s="39"/>
      <c r="J539" s="38">
        <v>29381</v>
      </c>
      <c r="K539" s="36">
        <f t="shared" si="40"/>
        <v>-80.441666666666663</v>
      </c>
      <c r="L539" s="36">
        <f t="shared" si="41"/>
        <v>-108.25277777777778</v>
      </c>
      <c r="M539" s="40" t="s">
        <v>34</v>
      </c>
      <c r="N539" s="41" t="str">
        <f t="shared" si="42"/>
        <v>TERMINO INDEFINIDO NUEVO</v>
      </c>
      <c r="O539" s="42">
        <v>177</v>
      </c>
      <c r="P539" s="42">
        <v>5</v>
      </c>
      <c r="Q539" s="35" t="s">
        <v>30</v>
      </c>
      <c r="R539" s="35">
        <v>12</v>
      </c>
      <c r="S539" s="94">
        <v>3</v>
      </c>
      <c r="T539" s="42">
        <v>5</v>
      </c>
    </row>
    <row r="540" spans="1:20">
      <c r="A540" s="25" t="s">
        <v>511</v>
      </c>
      <c r="B540" s="54">
        <v>94509765</v>
      </c>
      <c r="C540" s="25" t="s">
        <v>998</v>
      </c>
      <c r="D540" s="25" t="s">
        <v>514</v>
      </c>
      <c r="E540" s="25" t="s">
        <v>999</v>
      </c>
      <c r="F540" s="25"/>
      <c r="G540" s="26">
        <v>2802739.1336794067</v>
      </c>
      <c r="H540" s="27">
        <v>45313</v>
      </c>
      <c r="I540" s="28">
        <v>46387</v>
      </c>
      <c r="J540" s="27">
        <v>28420</v>
      </c>
      <c r="K540" s="25">
        <f t="shared" si="40"/>
        <v>-77.811111111111117</v>
      </c>
      <c r="L540" s="25">
        <f t="shared" si="41"/>
        <v>-124.06111111111112</v>
      </c>
      <c r="M540" s="73">
        <v>1</v>
      </c>
      <c r="N540" s="76" t="str">
        <f t="shared" si="42"/>
        <v>TERMINO FIJO</v>
      </c>
      <c r="O540" s="32">
        <v>177</v>
      </c>
      <c r="P540" s="32">
        <v>5</v>
      </c>
      <c r="Q540" s="29" t="s">
        <v>30</v>
      </c>
      <c r="R540" s="29">
        <v>12</v>
      </c>
      <c r="S540" s="59">
        <v>3</v>
      </c>
      <c r="T540" s="32">
        <v>5</v>
      </c>
    </row>
    <row r="541" spans="1:20">
      <c r="A541" s="36" t="s">
        <v>511</v>
      </c>
      <c r="B541" s="71">
        <v>87452299</v>
      </c>
      <c r="C541" s="36" t="s">
        <v>1000</v>
      </c>
      <c r="D541" s="36" t="s">
        <v>650</v>
      </c>
      <c r="E541" s="36" t="s">
        <v>1001</v>
      </c>
      <c r="F541" s="36"/>
      <c r="G541" s="37">
        <v>2802739.1336794067</v>
      </c>
      <c r="H541" s="38">
        <v>37742</v>
      </c>
      <c r="I541" s="39"/>
      <c r="J541" s="38">
        <v>24910</v>
      </c>
      <c r="K541" s="36">
        <f t="shared" si="40"/>
        <v>-68.202777777777783</v>
      </c>
      <c r="L541" s="36">
        <f t="shared" si="41"/>
        <v>-103.33611111111111</v>
      </c>
      <c r="M541" s="40" t="s">
        <v>34</v>
      </c>
      <c r="N541" s="41" t="str">
        <f t="shared" si="42"/>
        <v>TERMINO INDEFINIDO NUEVO</v>
      </c>
      <c r="O541" s="42">
        <v>177</v>
      </c>
      <c r="P541" s="42">
        <v>5</v>
      </c>
      <c r="Q541" s="35" t="s">
        <v>30</v>
      </c>
      <c r="R541" s="35">
        <v>12</v>
      </c>
      <c r="S541" s="94">
        <v>5</v>
      </c>
      <c r="T541" s="42">
        <v>5</v>
      </c>
    </row>
    <row r="542" spans="1:20">
      <c r="A542" s="25" t="s">
        <v>511</v>
      </c>
      <c r="B542" s="109">
        <v>87573647</v>
      </c>
      <c r="C542" s="25" t="s">
        <v>1002</v>
      </c>
      <c r="D542" s="25" t="s">
        <v>650</v>
      </c>
      <c r="E542" s="25" t="s">
        <v>1003</v>
      </c>
      <c r="F542" s="25"/>
      <c r="G542" s="26">
        <v>2802739.1336794067</v>
      </c>
      <c r="H542" s="27">
        <v>46031</v>
      </c>
      <c r="I542" s="28">
        <v>46295</v>
      </c>
      <c r="J542" s="27">
        <v>28691</v>
      </c>
      <c r="K542" s="25">
        <f t="shared" si="40"/>
        <v>-78.555555555555557</v>
      </c>
      <c r="L542" s="25">
        <f t="shared" si="41"/>
        <v>-126.02500000000001</v>
      </c>
      <c r="M542" s="73">
        <v>1</v>
      </c>
      <c r="N542" s="76" t="str">
        <f t="shared" si="42"/>
        <v>TERMINO FIJO</v>
      </c>
      <c r="O542" s="32">
        <v>177</v>
      </c>
      <c r="P542" s="32">
        <v>5</v>
      </c>
      <c r="Q542" s="29" t="s">
        <v>30</v>
      </c>
      <c r="R542" s="29">
        <v>12</v>
      </c>
      <c r="S542" s="59">
        <v>3</v>
      </c>
      <c r="T542" s="32">
        <v>5</v>
      </c>
    </row>
    <row r="543" spans="1:20">
      <c r="A543" s="36" t="s">
        <v>511</v>
      </c>
      <c r="B543" s="71">
        <v>13065620</v>
      </c>
      <c r="C543" s="36" t="s">
        <v>1004</v>
      </c>
      <c r="D543" s="36" t="s">
        <v>650</v>
      </c>
      <c r="E543" s="36" t="s">
        <v>1005</v>
      </c>
      <c r="F543" s="36"/>
      <c r="G543" s="37">
        <v>2802739.1336794067</v>
      </c>
      <c r="H543" s="38">
        <v>38154</v>
      </c>
      <c r="I543" s="39"/>
      <c r="J543" s="38">
        <v>26577</v>
      </c>
      <c r="K543" s="36">
        <f t="shared" si="40"/>
        <v>-72.763888888888886</v>
      </c>
      <c r="L543" s="36">
        <f t="shared" si="41"/>
        <v>-104.46111111111111</v>
      </c>
      <c r="M543" s="40" t="s">
        <v>34</v>
      </c>
      <c r="N543" s="41" t="str">
        <f t="shared" si="42"/>
        <v>TERMINO INDEFINIDO NUEVO</v>
      </c>
      <c r="O543" s="42">
        <v>177</v>
      </c>
      <c r="P543" s="42">
        <v>5</v>
      </c>
      <c r="Q543" s="35" t="s">
        <v>30</v>
      </c>
      <c r="R543" s="35">
        <v>12</v>
      </c>
      <c r="S543" s="94">
        <v>3</v>
      </c>
      <c r="T543" s="42">
        <v>5</v>
      </c>
    </row>
    <row r="544" spans="1:20">
      <c r="A544" s="36" t="s">
        <v>511</v>
      </c>
      <c r="B544" s="71">
        <v>87451507</v>
      </c>
      <c r="C544" s="36" t="s">
        <v>1006</v>
      </c>
      <c r="D544" s="36" t="s">
        <v>650</v>
      </c>
      <c r="E544" s="36" t="s">
        <v>984</v>
      </c>
      <c r="F544" s="36"/>
      <c r="G544" s="37">
        <v>2802739.1336794067</v>
      </c>
      <c r="H544" s="38">
        <v>40057</v>
      </c>
      <c r="I544" s="39"/>
      <c r="J544" s="38">
        <v>23721</v>
      </c>
      <c r="K544" s="36">
        <f t="shared" si="40"/>
        <v>-64.944444444444443</v>
      </c>
      <c r="L544" s="36">
        <f t="shared" si="41"/>
        <v>-109.66944444444445</v>
      </c>
      <c r="M544" s="40" t="s">
        <v>34</v>
      </c>
      <c r="N544" s="41" t="str">
        <f t="shared" si="42"/>
        <v>TERMINO INDEFINIDO NUEVO</v>
      </c>
      <c r="O544" s="42">
        <v>177</v>
      </c>
      <c r="P544" s="42">
        <v>5</v>
      </c>
      <c r="Q544" s="35" t="s">
        <v>30</v>
      </c>
      <c r="R544" s="35">
        <v>12</v>
      </c>
      <c r="S544" s="94">
        <v>3</v>
      </c>
      <c r="T544" s="42">
        <v>5</v>
      </c>
    </row>
    <row r="545" spans="1:20">
      <c r="A545" s="36" t="s">
        <v>511</v>
      </c>
      <c r="B545" s="71">
        <v>1085254019</v>
      </c>
      <c r="C545" s="36" t="s">
        <v>1007</v>
      </c>
      <c r="D545" s="36" t="s">
        <v>650</v>
      </c>
      <c r="E545" s="36" t="s">
        <v>984</v>
      </c>
      <c r="F545" s="36"/>
      <c r="G545" s="37">
        <v>2802739.1336794067</v>
      </c>
      <c r="H545" s="38">
        <v>39405</v>
      </c>
      <c r="I545" s="39"/>
      <c r="J545" s="38">
        <v>31271</v>
      </c>
      <c r="K545" s="36">
        <f t="shared" si="40"/>
        <v>-85.61666666666666</v>
      </c>
      <c r="L545" s="36">
        <f t="shared" si="41"/>
        <v>-107.88611111111111</v>
      </c>
      <c r="M545" s="40" t="s">
        <v>34</v>
      </c>
      <c r="N545" s="41" t="str">
        <f t="shared" si="42"/>
        <v>TERMINO INDEFINIDO NUEVO</v>
      </c>
      <c r="O545" s="42">
        <v>177</v>
      </c>
      <c r="P545" s="42">
        <v>5</v>
      </c>
      <c r="Q545" s="35" t="s">
        <v>30</v>
      </c>
      <c r="R545" s="35">
        <v>12</v>
      </c>
      <c r="S545" s="94">
        <v>3</v>
      </c>
      <c r="T545" s="42">
        <v>5</v>
      </c>
    </row>
    <row r="546" spans="1:20">
      <c r="A546" s="62" t="s">
        <v>237</v>
      </c>
      <c r="B546" s="74">
        <v>98431945</v>
      </c>
      <c r="C546" s="74" t="s">
        <v>1008</v>
      </c>
      <c r="D546" s="62" t="s">
        <v>248</v>
      </c>
      <c r="E546" s="62" t="s">
        <v>951</v>
      </c>
      <c r="F546" s="62" t="s">
        <v>1009</v>
      </c>
      <c r="G546" s="63">
        <v>2796466.9975159406</v>
      </c>
      <c r="H546" s="64">
        <v>43070</v>
      </c>
      <c r="I546" s="65"/>
      <c r="J546" s="64">
        <v>28738</v>
      </c>
      <c r="K546" s="62">
        <f t="shared" si="40"/>
        <v>-78.680555555555557</v>
      </c>
      <c r="L546" s="62">
        <f t="shared" si="41"/>
        <v>-117.91944444444445</v>
      </c>
      <c r="M546" s="66" t="s">
        <v>34</v>
      </c>
      <c r="N546" s="67" t="str">
        <f t="shared" si="42"/>
        <v>TERMINO INDEFINIDO NUEVO</v>
      </c>
      <c r="O546" s="68">
        <v>173</v>
      </c>
      <c r="P546" s="68">
        <v>3</v>
      </c>
      <c r="Q546" s="69" t="s">
        <v>30</v>
      </c>
      <c r="R546" s="69">
        <v>12</v>
      </c>
      <c r="S546" s="70">
        <v>2</v>
      </c>
      <c r="T546" s="68">
        <v>7</v>
      </c>
    </row>
    <row r="547" spans="1:20">
      <c r="A547" s="25" t="s">
        <v>501</v>
      </c>
      <c r="B547" s="54">
        <v>1086358212</v>
      </c>
      <c r="C547" s="25" t="s">
        <v>1010</v>
      </c>
      <c r="D547" s="25" t="s">
        <v>789</v>
      </c>
      <c r="E547" s="25" t="s">
        <v>979</v>
      </c>
      <c r="F547" s="25"/>
      <c r="G547" s="26">
        <v>2527665.2085527098</v>
      </c>
      <c r="H547" s="27">
        <v>45419</v>
      </c>
      <c r="I547" s="28">
        <v>46387</v>
      </c>
      <c r="J547" s="27">
        <v>31473</v>
      </c>
      <c r="K547" s="25">
        <f t="shared" si="40"/>
        <v>-86.172222222222217</v>
      </c>
      <c r="L547" s="25">
        <f t="shared" si="41"/>
        <v>-124.35277777777777</v>
      </c>
      <c r="M547" s="73">
        <v>1</v>
      </c>
      <c r="N547" s="76" t="str">
        <f t="shared" si="42"/>
        <v>TERMINO FIJO</v>
      </c>
      <c r="O547" s="32">
        <v>172</v>
      </c>
      <c r="P547" s="32">
        <v>3</v>
      </c>
      <c r="Q547" s="29" t="s">
        <v>30</v>
      </c>
      <c r="R547" s="29">
        <v>12</v>
      </c>
      <c r="S547" s="59">
        <v>3</v>
      </c>
      <c r="T547" s="32">
        <v>5</v>
      </c>
    </row>
    <row r="548" spans="1:20">
      <c r="A548" s="36" t="s">
        <v>453</v>
      </c>
      <c r="B548" s="71">
        <v>87573566</v>
      </c>
      <c r="C548" s="36" t="s">
        <v>1011</v>
      </c>
      <c r="D548" s="36" t="s">
        <v>454</v>
      </c>
      <c r="E548" s="36" t="s">
        <v>951</v>
      </c>
      <c r="F548" s="36"/>
      <c r="G548" s="37">
        <v>2786076.361180109</v>
      </c>
      <c r="H548" s="38">
        <v>38853</v>
      </c>
      <c r="I548" s="39"/>
      <c r="J548" s="38">
        <v>28612</v>
      </c>
      <c r="K548" s="36">
        <f t="shared" si="40"/>
        <v>-78.338888888888889</v>
      </c>
      <c r="L548" s="36">
        <f t="shared" si="41"/>
        <v>-106.37777777777778</v>
      </c>
      <c r="M548" s="40" t="s">
        <v>34</v>
      </c>
      <c r="N548" s="41" t="str">
        <f t="shared" si="42"/>
        <v>TERMINO INDEFINIDO NUEVO</v>
      </c>
      <c r="O548" s="42">
        <v>174</v>
      </c>
      <c r="P548" s="42">
        <v>1</v>
      </c>
      <c r="Q548" s="35" t="s">
        <v>30</v>
      </c>
      <c r="R548" s="35">
        <v>12</v>
      </c>
      <c r="S548" s="94">
        <v>3</v>
      </c>
      <c r="T548" s="42">
        <v>5</v>
      </c>
    </row>
    <row r="549" spans="1:20">
      <c r="A549" s="36" t="s">
        <v>233</v>
      </c>
      <c r="B549" s="71">
        <v>27109015</v>
      </c>
      <c r="C549" s="36" t="s">
        <v>1012</v>
      </c>
      <c r="D549" s="36" t="s">
        <v>235</v>
      </c>
      <c r="E549" s="36" t="s">
        <v>951</v>
      </c>
      <c r="F549" s="36"/>
      <c r="G549" s="37">
        <v>2677767.7670299616</v>
      </c>
      <c r="H549" s="38">
        <v>40452</v>
      </c>
      <c r="I549" s="39"/>
      <c r="J549" s="38">
        <v>27419</v>
      </c>
      <c r="K549" s="36">
        <f t="shared" si="40"/>
        <v>-75.069444444444443</v>
      </c>
      <c r="L549" s="36">
        <f t="shared" si="41"/>
        <v>-110.75277777777778</v>
      </c>
      <c r="M549" s="40" t="s">
        <v>34</v>
      </c>
      <c r="N549" s="41" t="str">
        <f t="shared" si="42"/>
        <v>TERMINO INDEFINIDO NUEVO</v>
      </c>
      <c r="O549" s="42">
        <v>171</v>
      </c>
      <c r="P549" s="42">
        <v>4</v>
      </c>
      <c r="Q549" s="35" t="s">
        <v>35</v>
      </c>
      <c r="R549" s="35">
        <v>14</v>
      </c>
      <c r="S549" s="101">
        <v>2</v>
      </c>
      <c r="T549" s="42">
        <v>7</v>
      </c>
    </row>
    <row r="550" spans="1:20">
      <c r="A550" s="25" t="s">
        <v>233</v>
      </c>
      <c r="B550" s="54" t="s">
        <v>1013</v>
      </c>
      <c r="C550" s="25" t="s">
        <v>1014</v>
      </c>
      <c r="D550" s="25" t="s">
        <v>235</v>
      </c>
      <c r="E550" s="25" t="s">
        <v>951</v>
      </c>
      <c r="F550" s="25"/>
      <c r="G550" s="26">
        <v>2677767.7670299616</v>
      </c>
      <c r="H550" s="27">
        <v>35582</v>
      </c>
      <c r="I550" s="39"/>
      <c r="J550" s="27">
        <v>23825</v>
      </c>
      <c r="K550" s="25">
        <f t="shared" si="40"/>
        <v>-65.233333333333334</v>
      </c>
      <c r="L550" s="25">
        <f t="shared" si="41"/>
        <v>-97.419444444444451</v>
      </c>
      <c r="M550" s="29">
        <v>2</v>
      </c>
      <c r="N550" s="76" t="str">
        <f t="shared" si="42"/>
        <v>TERMINO INDEFINIDO</v>
      </c>
      <c r="O550" s="32">
        <v>171</v>
      </c>
      <c r="P550" s="32">
        <v>4</v>
      </c>
      <c r="Q550" s="29" t="s">
        <v>35</v>
      </c>
      <c r="R550" s="29">
        <v>14</v>
      </c>
      <c r="S550" s="59">
        <v>2</v>
      </c>
      <c r="T550" s="32">
        <v>7</v>
      </c>
    </row>
    <row r="551" spans="1:20">
      <c r="A551" s="44" t="s">
        <v>162</v>
      </c>
      <c r="B551" s="45">
        <v>98392302</v>
      </c>
      <c r="C551" s="44" t="s">
        <v>1015</v>
      </c>
      <c r="D551" s="44" t="s">
        <v>165</v>
      </c>
      <c r="E551" s="44" t="s">
        <v>1016</v>
      </c>
      <c r="F551" s="44"/>
      <c r="G551" s="46">
        <v>25016832</v>
      </c>
      <c r="H551" s="47">
        <v>45280</v>
      </c>
      <c r="I551" s="48"/>
      <c r="J551" s="47">
        <v>27694</v>
      </c>
      <c r="K551" s="44">
        <f>(DAYS360(J551,$K$1))/360</f>
        <v>-75.825000000000003</v>
      </c>
      <c r="L551" s="44">
        <f>(DAYS360(H551,$K$1))/360</f>
        <v>-123.97222222222223</v>
      </c>
      <c r="M551" s="51">
        <v>3</v>
      </c>
      <c r="N551" s="106" t="str">
        <f t="shared" si="42"/>
        <v>SALARIO INTEGRAL</v>
      </c>
      <c r="O551" s="53">
        <v>181</v>
      </c>
      <c r="P551" s="53">
        <v>3</v>
      </c>
      <c r="Q551" s="51" t="s">
        <v>30</v>
      </c>
      <c r="R551" s="51">
        <v>9</v>
      </c>
      <c r="S551" s="49">
        <v>6</v>
      </c>
      <c r="T551" s="53">
        <v>3</v>
      </c>
    </row>
    <row r="552" spans="1:20">
      <c r="A552" s="25" t="s">
        <v>45</v>
      </c>
      <c r="B552" s="54" t="s">
        <v>1017</v>
      </c>
      <c r="C552" s="25" t="s">
        <v>1018</v>
      </c>
      <c r="D552" s="25" t="s">
        <v>48</v>
      </c>
      <c r="E552" s="25" t="s">
        <v>1016</v>
      </c>
      <c r="F552" s="25" t="s">
        <v>1019</v>
      </c>
      <c r="G552" s="26">
        <v>6967259.7986902911</v>
      </c>
      <c r="H552" s="81">
        <v>37073</v>
      </c>
      <c r="I552" s="82"/>
      <c r="J552" s="27">
        <v>27585</v>
      </c>
      <c r="K552" s="25">
        <f t="shared" ref="K552:K591" si="43">(DAYS360(J552,$K$1))/360</f>
        <v>-75.527777777777771</v>
      </c>
      <c r="L552" s="25">
        <f t="shared" ref="L552:L591" si="44">(DAYS360(H552,$K$1))/360</f>
        <v>-101.50277777777778</v>
      </c>
      <c r="M552" s="29">
        <v>2</v>
      </c>
      <c r="N552" s="76" t="str">
        <f t="shared" si="42"/>
        <v>TERMINO INDEFINIDO</v>
      </c>
      <c r="O552" s="32">
        <v>183</v>
      </c>
      <c r="P552" s="32">
        <v>3</v>
      </c>
      <c r="Q552" s="29" t="s">
        <v>30</v>
      </c>
      <c r="R552" s="29">
        <v>9</v>
      </c>
      <c r="S552" s="32">
        <v>5</v>
      </c>
      <c r="T552" s="32">
        <v>4</v>
      </c>
    </row>
    <row r="553" spans="1:20">
      <c r="A553" s="24" t="s">
        <v>134</v>
      </c>
      <c r="B553" s="54" t="s">
        <v>1020</v>
      </c>
      <c r="C553" s="25" t="s">
        <v>1021</v>
      </c>
      <c r="D553" s="25" t="s">
        <v>529</v>
      </c>
      <c r="E553" s="25" t="s">
        <v>1016</v>
      </c>
      <c r="F553" s="25"/>
      <c r="G553" s="26">
        <v>5637209.9356840365</v>
      </c>
      <c r="H553" s="27">
        <v>34174</v>
      </c>
      <c r="I553" s="28"/>
      <c r="J553" s="27">
        <v>22969</v>
      </c>
      <c r="K553" s="25">
        <f t="shared" si="43"/>
        <v>-62.886111111111113</v>
      </c>
      <c r="L553" s="25">
        <f t="shared" si="44"/>
        <v>-93.566666666666663</v>
      </c>
      <c r="M553" s="29">
        <v>2</v>
      </c>
      <c r="N553" s="76" t="str">
        <f t="shared" si="42"/>
        <v>TERMINO INDEFINIDO</v>
      </c>
      <c r="O553" s="32">
        <v>183</v>
      </c>
      <c r="P553" s="32">
        <v>3</v>
      </c>
      <c r="Q553" s="29" t="s">
        <v>30</v>
      </c>
      <c r="R553" s="29">
        <v>9</v>
      </c>
      <c r="S553" s="32">
        <v>3</v>
      </c>
      <c r="T553" s="32">
        <v>6</v>
      </c>
    </row>
    <row r="554" spans="1:20">
      <c r="A554" s="1" t="s">
        <v>139</v>
      </c>
      <c r="B554" s="54">
        <v>12911689</v>
      </c>
      <c r="C554" s="25" t="s">
        <v>1022</v>
      </c>
      <c r="D554" s="25" t="s">
        <v>218</v>
      </c>
      <c r="E554" s="25" t="s">
        <v>1016</v>
      </c>
      <c r="F554" s="25" t="s">
        <v>1023</v>
      </c>
      <c r="G554" s="26">
        <v>3971698.242858639</v>
      </c>
      <c r="H554" s="81">
        <v>33687</v>
      </c>
      <c r="I554" s="82"/>
      <c r="J554" s="27">
        <v>23101</v>
      </c>
      <c r="K554" s="25">
        <f t="shared" si="43"/>
        <v>-63.25</v>
      </c>
      <c r="L554" s="25">
        <f t="shared" si="44"/>
        <v>-92.233333333333334</v>
      </c>
      <c r="M554" s="29">
        <v>2</v>
      </c>
      <c r="N554" s="76" t="str">
        <f t="shared" si="42"/>
        <v>TERMINO INDEFINIDO</v>
      </c>
      <c r="O554" s="32">
        <v>183</v>
      </c>
      <c r="P554" s="32">
        <v>3</v>
      </c>
      <c r="Q554" s="29" t="s">
        <v>30</v>
      </c>
      <c r="R554" s="29">
        <v>9</v>
      </c>
      <c r="S554" s="32">
        <v>3</v>
      </c>
      <c r="T554" s="32">
        <v>6</v>
      </c>
    </row>
    <row r="555" spans="1:20">
      <c r="A555" s="62" t="s">
        <v>149</v>
      </c>
      <c r="B555" s="61">
        <v>1087128951</v>
      </c>
      <c r="C555" s="62" t="s">
        <v>1024</v>
      </c>
      <c r="D555" s="62" t="s">
        <v>151</v>
      </c>
      <c r="E555" s="62" t="s">
        <v>1016</v>
      </c>
      <c r="F555" s="62"/>
      <c r="G555" s="63">
        <v>3415094.5981706623</v>
      </c>
      <c r="H555" s="64">
        <v>43313</v>
      </c>
      <c r="I555" s="65"/>
      <c r="J555" s="64">
        <v>32933</v>
      </c>
      <c r="K555" s="62">
        <f t="shared" si="43"/>
        <v>-90.169444444444451</v>
      </c>
      <c r="L555" s="62">
        <f t="shared" si="44"/>
        <v>-118.58611111111111</v>
      </c>
      <c r="M555" s="66" t="s">
        <v>34</v>
      </c>
      <c r="N555" s="67" t="str">
        <f t="shared" si="42"/>
        <v>TERMINO INDEFINIDO NUEVO</v>
      </c>
      <c r="O555" s="68">
        <v>181</v>
      </c>
      <c r="P555" s="68">
        <v>4</v>
      </c>
      <c r="Q555" s="69" t="s">
        <v>35</v>
      </c>
      <c r="R555" s="69">
        <v>9</v>
      </c>
      <c r="S555" s="68">
        <v>5</v>
      </c>
      <c r="T555" s="68">
        <v>6</v>
      </c>
    </row>
    <row r="556" spans="1:20">
      <c r="A556" s="182" t="s">
        <v>153</v>
      </c>
      <c r="B556" s="61">
        <v>59677129</v>
      </c>
      <c r="C556" s="62" t="s">
        <v>1025</v>
      </c>
      <c r="D556" s="62" t="s">
        <v>225</v>
      </c>
      <c r="E556" s="62" t="s">
        <v>1016</v>
      </c>
      <c r="F556" s="62"/>
      <c r="G556" s="63">
        <v>3120218.4554910217</v>
      </c>
      <c r="H556" s="64">
        <v>44682</v>
      </c>
      <c r="I556" s="65"/>
      <c r="J556" s="64">
        <v>28660</v>
      </c>
      <c r="K556" s="62">
        <f t="shared" si="43"/>
        <v>-78.469444444444449</v>
      </c>
      <c r="L556" s="62">
        <f t="shared" si="44"/>
        <v>-122.33611111111111</v>
      </c>
      <c r="M556" s="66" t="s">
        <v>34</v>
      </c>
      <c r="N556" s="74" t="str">
        <f t="shared" si="42"/>
        <v>TERMINO INDEFINIDO NUEVO</v>
      </c>
      <c r="O556" s="69">
        <v>181</v>
      </c>
      <c r="P556" s="69">
        <v>4</v>
      </c>
      <c r="Q556" s="69" t="s">
        <v>35</v>
      </c>
      <c r="R556" s="69">
        <v>9</v>
      </c>
      <c r="S556" s="68"/>
      <c r="T556" s="68">
        <v>6</v>
      </c>
    </row>
    <row r="557" spans="1:20">
      <c r="A557" s="36" t="s">
        <v>36</v>
      </c>
      <c r="B557" s="71">
        <v>98429180</v>
      </c>
      <c r="C557" s="36" t="s">
        <v>1026</v>
      </c>
      <c r="D557" s="36" t="s">
        <v>61</v>
      </c>
      <c r="E557" s="36" t="s">
        <v>1016</v>
      </c>
      <c r="F557" s="36" t="s">
        <v>1023</v>
      </c>
      <c r="G557" s="37">
        <v>3707009.4514301317</v>
      </c>
      <c r="H557" s="38">
        <v>40787</v>
      </c>
      <c r="I557" s="39"/>
      <c r="J557" s="38">
        <v>28184</v>
      </c>
      <c r="K557" s="36">
        <f t="shared" si="43"/>
        <v>-77.166666666666671</v>
      </c>
      <c r="L557" s="36">
        <f t="shared" si="44"/>
        <v>-111.66944444444445</v>
      </c>
      <c r="M557" s="40" t="s">
        <v>34</v>
      </c>
      <c r="N557" s="41" t="str">
        <f t="shared" si="42"/>
        <v>TERMINO INDEFINIDO NUEVO</v>
      </c>
      <c r="O557" s="42">
        <v>181</v>
      </c>
      <c r="P557" s="42">
        <v>4</v>
      </c>
      <c r="Q557" s="35" t="s">
        <v>30</v>
      </c>
      <c r="R557" s="35">
        <v>9</v>
      </c>
      <c r="S557" s="42">
        <v>5</v>
      </c>
      <c r="T557" s="42">
        <v>6</v>
      </c>
    </row>
    <row r="558" spans="1:20">
      <c r="A558" s="25" t="s">
        <v>36</v>
      </c>
      <c r="B558" s="54" t="s">
        <v>1027</v>
      </c>
      <c r="C558" s="25" t="s">
        <v>1028</v>
      </c>
      <c r="D558" s="25" t="s">
        <v>61</v>
      </c>
      <c r="E558" s="25" t="s">
        <v>1016</v>
      </c>
      <c r="F558" s="25"/>
      <c r="G558" s="26">
        <v>3707009.4514301317</v>
      </c>
      <c r="H558" s="27">
        <v>36617</v>
      </c>
      <c r="I558" s="28"/>
      <c r="J558" s="27">
        <v>27294</v>
      </c>
      <c r="K558" s="25">
        <f t="shared" si="43"/>
        <v>-74.727777777777774</v>
      </c>
      <c r="L558" s="25">
        <f t="shared" si="44"/>
        <v>-100.25277777777778</v>
      </c>
      <c r="M558" s="29">
        <v>2</v>
      </c>
      <c r="N558" s="76" t="str">
        <f t="shared" si="42"/>
        <v>TERMINO INDEFINIDO</v>
      </c>
      <c r="O558" s="32">
        <v>182</v>
      </c>
      <c r="P558" s="32">
        <v>5</v>
      </c>
      <c r="Q558" s="29" t="s">
        <v>35</v>
      </c>
      <c r="R558" s="29">
        <v>9</v>
      </c>
      <c r="S558" s="32">
        <v>5</v>
      </c>
      <c r="T558" s="32">
        <v>6</v>
      </c>
    </row>
    <row r="559" spans="1:20">
      <c r="A559" s="25" t="s">
        <v>36</v>
      </c>
      <c r="B559" s="54" t="s">
        <v>1029</v>
      </c>
      <c r="C559" s="25" t="s">
        <v>1030</v>
      </c>
      <c r="D559" s="25" t="s">
        <v>38</v>
      </c>
      <c r="E559" s="25" t="s">
        <v>1016</v>
      </c>
      <c r="F559" s="25" t="s">
        <v>632</v>
      </c>
      <c r="G559" s="26">
        <v>3707009.4514301317</v>
      </c>
      <c r="H559" s="27">
        <v>37073</v>
      </c>
      <c r="I559" s="28"/>
      <c r="J559" s="27">
        <v>27150</v>
      </c>
      <c r="K559" s="25">
        <f t="shared" si="43"/>
        <v>-74.336111111111109</v>
      </c>
      <c r="L559" s="25">
        <f t="shared" si="44"/>
        <v>-101.50277777777778</v>
      </c>
      <c r="M559" s="29">
        <v>2</v>
      </c>
      <c r="N559" s="76" t="str">
        <f t="shared" si="42"/>
        <v>TERMINO INDEFINIDO</v>
      </c>
      <c r="O559" s="32">
        <v>181</v>
      </c>
      <c r="P559" s="32">
        <v>4</v>
      </c>
      <c r="Q559" s="29" t="s">
        <v>35</v>
      </c>
      <c r="R559" s="29">
        <v>9</v>
      </c>
      <c r="S559" s="32">
        <v>4</v>
      </c>
      <c r="T559" s="32">
        <v>6</v>
      </c>
    </row>
    <row r="560" spans="1:20">
      <c r="A560" s="25" t="s">
        <v>36</v>
      </c>
      <c r="B560" s="54" t="s">
        <v>1031</v>
      </c>
      <c r="C560" s="25" t="s">
        <v>1032</v>
      </c>
      <c r="D560" s="25" t="s">
        <v>61</v>
      </c>
      <c r="E560" s="25" t="s">
        <v>1016</v>
      </c>
      <c r="F560" s="25"/>
      <c r="G560" s="26">
        <v>3707009.4514301317</v>
      </c>
      <c r="H560" s="81">
        <v>32225</v>
      </c>
      <c r="I560" s="82"/>
      <c r="J560" s="27">
        <v>23636</v>
      </c>
      <c r="K560" s="25">
        <f t="shared" si="43"/>
        <v>-64.711111111111109</v>
      </c>
      <c r="L560" s="25">
        <f t="shared" si="44"/>
        <v>-88.230555555555554</v>
      </c>
      <c r="M560" s="29">
        <v>2</v>
      </c>
      <c r="N560" s="76" t="str">
        <f t="shared" si="42"/>
        <v>TERMINO INDEFINIDO</v>
      </c>
      <c r="O560" s="32">
        <v>182</v>
      </c>
      <c r="P560" s="32">
        <v>5</v>
      </c>
      <c r="Q560" s="29" t="s">
        <v>30</v>
      </c>
      <c r="R560" s="29">
        <v>9</v>
      </c>
      <c r="S560" s="32">
        <v>3</v>
      </c>
      <c r="T560" s="32">
        <v>6</v>
      </c>
    </row>
    <row r="561" spans="1:20">
      <c r="A561" s="62" t="s">
        <v>115</v>
      </c>
      <c r="B561" s="61">
        <v>38643369</v>
      </c>
      <c r="C561" s="62" t="s">
        <v>1033</v>
      </c>
      <c r="D561" s="62" t="s">
        <v>117</v>
      </c>
      <c r="E561" s="62" t="s">
        <v>1016</v>
      </c>
      <c r="F561" s="62" t="s">
        <v>311</v>
      </c>
      <c r="G561" s="63">
        <v>3283807.4232013058</v>
      </c>
      <c r="H561" s="64">
        <v>42955</v>
      </c>
      <c r="I561" s="65"/>
      <c r="J561" s="64">
        <v>30960</v>
      </c>
      <c r="K561" s="62">
        <f t="shared" si="43"/>
        <v>-84.763888888888886</v>
      </c>
      <c r="L561" s="62">
        <f t="shared" si="44"/>
        <v>-117.60555555555555</v>
      </c>
      <c r="M561" s="66" t="s">
        <v>34</v>
      </c>
      <c r="N561" s="67" t="str">
        <f t="shared" si="42"/>
        <v>TERMINO INDEFINIDO NUEVO</v>
      </c>
      <c r="O561" s="68">
        <v>182</v>
      </c>
      <c r="P561" s="68">
        <v>5</v>
      </c>
      <c r="Q561" s="69" t="s">
        <v>35</v>
      </c>
      <c r="R561" s="69">
        <v>9</v>
      </c>
      <c r="S561" s="68">
        <v>3</v>
      </c>
      <c r="T561" s="68">
        <v>6</v>
      </c>
    </row>
    <row r="562" spans="1:20">
      <c r="A562" s="36" t="s">
        <v>115</v>
      </c>
      <c r="B562" s="71">
        <v>1087113988</v>
      </c>
      <c r="C562" s="36" t="s">
        <v>1034</v>
      </c>
      <c r="D562" s="36" t="s">
        <v>117</v>
      </c>
      <c r="E562" s="36" t="s">
        <v>1016</v>
      </c>
      <c r="F562" s="36" t="s">
        <v>1035</v>
      </c>
      <c r="G562" s="37">
        <v>3283806.7690738421</v>
      </c>
      <c r="H562" s="38">
        <v>41613</v>
      </c>
      <c r="I562" s="39"/>
      <c r="J562" s="38">
        <v>31683</v>
      </c>
      <c r="K562" s="36">
        <f t="shared" si="43"/>
        <v>-86.74444444444444</v>
      </c>
      <c r="L562" s="36">
        <f t="shared" si="44"/>
        <v>-113.93055555555556</v>
      </c>
      <c r="M562" s="40" t="s">
        <v>34</v>
      </c>
      <c r="N562" s="41" t="str">
        <f t="shared" si="42"/>
        <v>TERMINO INDEFINIDO NUEVO</v>
      </c>
      <c r="O562" s="42">
        <v>182</v>
      </c>
      <c r="P562" s="42">
        <v>5</v>
      </c>
      <c r="Q562" s="35" t="s">
        <v>35</v>
      </c>
      <c r="R562" s="35">
        <v>9</v>
      </c>
      <c r="S562" s="94">
        <v>2</v>
      </c>
      <c r="T562" s="42">
        <v>6</v>
      </c>
    </row>
    <row r="563" spans="1:20">
      <c r="A563" s="24" t="s">
        <v>124</v>
      </c>
      <c r="B563" s="54"/>
      <c r="C563" s="25" t="s">
        <v>204</v>
      </c>
      <c r="D563" s="25" t="s">
        <v>126</v>
      </c>
      <c r="E563" s="25" t="s">
        <v>1016</v>
      </c>
      <c r="F563" s="25"/>
      <c r="G563" s="26">
        <v>2802739.64234913</v>
      </c>
      <c r="H563" s="27"/>
      <c r="I563" s="28"/>
      <c r="J563" s="27"/>
      <c r="K563" s="25">
        <f t="shared" si="43"/>
        <v>0</v>
      </c>
      <c r="L563" s="25">
        <f t="shared" si="44"/>
        <v>0</v>
      </c>
      <c r="M563" s="73">
        <v>91</v>
      </c>
      <c r="N563" s="30" t="str">
        <f t="shared" si="42"/>
        <v>OTRO</v>
      </c>
      <c r="O563" s="29">
        <v>182</v>
      </c>
      <c r="P563" s="29"/>
      <c r="Q563" s="29"/>
      <c r="R563" s="29"/>
      <c r="S563" s="32"/>
      <c r="T563" s="32"/>
    </row>
    <row r="564" spans="1:20">
      <c r="A564" s="183" t="s">
        <v>124</v>
      </c>
      <c r="B564" s="30"/>
      <c r="C564" s="183" t="s">
        <v>204</v>
      </c>
      <c r="D564" s="183" t="s">
        <v>126</v>
      </c>
      <c r="E564" s="25" t="s">
        <v>1016</v>
      </c>
      <c r="F564" s="25"/>
      <c r="G564" s="26">
        <v>2802739.64234913</v>
      </c>
      <c r="H564" s="184"/>
      <c r="I564" s="28"/>
      <c r="J564" s="184"/>
      <c r="K564" s="25">
        <f t="shared" si="43"/>
        <v>0</v>
      </c>
      <c r="L564" s="25">
        <f t="shared" si="44"/>
        <v>0</v>
      </c>
      <c r="M564" s="73">
        <v>91</v>
      </c>
      <c r="N564" s="185" t="str">
        <f t="shared" si="42"/>
        <v>OTRO</v>
      </c>
      <c r="O564" s="186">
        <v>182</v>
      </c>
      <c r="P564" s="186"/>
      <c r="Q564" s="29"/>
      <c r="R564" s="29"/>
      <c r="S564" s="186"/>
      <c r="T564" s="32"/>
    </row>
    <row r="565" spans="1:20">
      <c r="A565" s="36" t="s">
        <v>409</v>
      </c>
      <c r="B565" s="92">
        <v>87943538</v>
      </c>
      <c r="C565" s="36" t="s">
        <v>1036</v>
      </c>
      <c r="D565" s="36" t="s">
        <v>411</v>
      </c>
      <c r="E565" s="36" t="s">
        <v>1016</v>
      </c>
      <c r="F565" s="36" t="s">
        <v>812</v>
      </c>
      <c r="G565" s="37">
        <v>3231586.9520465797</v>
      </c>
      <c r="H565" s="38">
        <v>39508</v>
      </c>
      <c r="I565" s="39"/>
      <c r="J565" s="38">
        <v>30074</v>
      </c>
      <c r="K565" s="36">
        <f t="shared" si="43"/>
        <v>-82.341666666666669</v>
      </c>
      <c r="L565" s="36">
        <f t="shared" si="44"/>
        <v>-108.16944444444445</v>
      </c>
      <c r="M565" s="40" t="s">
        <v>34</v>
      </c>
      <c r="N565" s="41" t="str">
        <f t="shared" si="42"/>
        <v>TERMINO INDEFINIDO NUEVO</v>
      </c>
      <c r="O565" s="42">
        <v>183</v>
      </c>
      <c r="P565" s="42">
        <v>3</v>
      </c>
      <c r="Q565" s="35" t="s">
        <v>30</v>
      </c>
      <c r="R565" s="35">
        <v>19</v>
      </c>
      <c r="S565" s="42">
        <v>3</v>
      </c>
      <c r="T565" s="42">
        <v>5</v>
      </c>
    </row>
    <row r="566" spans="1:20">
      <c r="A566" s="36" t="s">
        <v>409</v>
      </c>
      <c r="B566" s="71">
        <v>12909576</v>
      </c>
      <c r="C566" s="36" t="s">
        <v>1037</v>
      </c>
      <c r="D566" s="36" t="s">
        <v>689</v>
      </c>
      <c r="E566" s="36" t="s">
        <v>1016</v>
      </c>
      <c r="F566" s="36"/>
      <c r="G566" s="37">
        <v>3231586.9520465797</v>
      </c>
      <c r="H566" s="38">
        <v>37662</v>
      </c>
      <c r="I566" s="39"/>
      <c r="J566" s="38">
        <v>22370</v>
      </c>
      <c r="K566" s="36">
        <f t="shared" si="43"/>
        <v>-61.25</v>
      </c>
      <c r="L566" s="36">
        <f t="shared" si="44"/>
        <v>-103.11111111111111</v>
      </c>
      <c r="M566" s="40" t="s">
        <v>34</v>
      </c>
      <c r="N566" s="41" t="str">
        <f t="shared" si="42"/>
        <v>TERMINO INDEFINIDO NUEVO</v>
      </c>
      <c r="O566" s="42">
        <v>183</v>
      </c>
      <c r="P566" s="42">
        <v>3</v>
      </c>
      <c r="Q566" s="35" t="s">
        <v>30</v>
      </c>
      <c r="R566" s="35">
        <v>19</v>
      </c>
      <c r="S566" s="35">
        <v>3</v>
      </c>
      <c r="T566" s="42">
        <v>5</v>
      </c>
    </row>
    <row r="567" spans="1:20">
      <c r="A567" s="62" t="s">
        <v>331</v>
      </c>
      <c r="B567" s="175">
        <v>12918861</v>
      </c>
      <c r="C567" s="62" t="s">
        <v>1038</v>
      </c>
      <c r="D567" s="62" t="s">
        <v>333</v>
      </c>
      <c r="E567" s="62" t="s">
        <v>1016</v>
      </c>
      <c r="F567" s="62" t="s">
        <v>44</v>
      </c>
      <c r="G567" s="63">
        <v>3120219.7199999997</v>
      </c>
      <c r="H567" s="64">
        <v>44063</v>
      </c>
      <c r="I567" s="65"/>
      <c r="J567" s="64">
        <v>26043</v>
      </c>
      <c r="K567" s="62">
        <f>(DAYS360(J567,$K$1))/360</f>
        <v>-71.305555555555557</v>
      </c>
      <c r="L567" s="62">
        <f>(DAYS360(H567,$K$1))/360</f>
        <v>-120.63888888888889</v>
      </c>
      <c r="M567" s="66" t="s">
        <v>34</v>
      </c>
      <c r="N567" s="74" t="str">
        <f t="shared" si="42"/>
        <v>TERMINO INDEFINIDO NUEVO</v>
      </c>
      <c r="O567" s="69">
        <v>183</v>
      </c>
      <c r="P567" s="68">
        <v>3</v>
      </c>
      <c r="Q567" s="69" t="s">
        <v>30</v>
      </c>
      <c r="R567" s="69">
        <v>19</v>
      </c>
      <c r="S567" s="69"/>
      <c r="T567" s="68">
        <v>5</v>
      </c>
    </row>
    <row r="568" spans="1:20">
      <c r="A568" s="36" t="s">
        <v>331</v>
      </c>
      <c r="B568" s="34">
        <v>98429222</v>
      </c>
      <c r="C568" s="36" t="s">
        <v>1039</v>
      </c>
      <c r="D568" s="36" t="s">
        <v>333</v>
      </c>
      <c r="E568" s="36" t="s">
        <v>1016</v>
      </c>
      <c r="F568" s="36"/>
      <c r="G568" s="37">
        <v>3120218.4554910217</v>
      </c>
      <c r="H568" s="187">
        <v>42174</v>
      </c>
      <c r="I568" s="39"/>
      <c r="J568" s="187">
        <v>28067</v>
      </c>
      <c r="K568" s="36">
        <f t="shared" si="43"/>
        <v>-76.841666666666669</v>
      </c>
      <c r="L568" s="36">
        <f t="shared" si="44"/>
        <v>-115.46944444444445</v>
      </c>
      <c r="M568" s="40" t="s">
        <v>34</v>
      </c>
      <c r="N568" s="41" t="str">
        <f t="shared" si="42"/>
        <v>TERMINO INDEFINIDO NUEVO</v>
      </c>
      <c r="O568" s="42">
        <v>183</v>
      </c>
      <c r="P568" s="42">
        <v>3</v>
      </c>
      <c r="Q568" s="35" t="s">
        <v>30</v>
      </c>
      <c r="R568" s="35">
        <v>19</v>
      </c>
      <c r="S568" s="35">
        <v>3</v>
      </c>
      <c r="T568" s="42">
        <v>5</v>
      </c>
    </row>
    <row r="569" spans="1:20">
      <c r="A569" s="36" t="s">
        <v>331</v>
      </c>
      <c r="B569" s="92">
        <v>94439253</v>
      </c>
      <c r="C569" s="36" t="s">
        <v>1040</v>
      </c>
      <c r="D569" s="36" t="s">
        <v>353</v>
      </c>
      <c r="E569" s="36" t="s">
        <v>1016</v>
      </c>
      <c r="F569" s="36"/>
      <c r="G569" s="37">
        <v>3120218.4554910217</v>
      </c>
      <c r="H569" s="38">
        <v>40399</v>
      </c>
      <c r="I569" s="39"/>
      <c r="J569" s="38">
        <v>27896</v>
      </c>
      <c r="K569" s="36">
        <f t="shared" si="43"/>
        <v>-76.37777777777778</v>
      </c>
      <c r="L569" s="36">
        <f t="shared" si="44"/>
        <v>-110.60833333333333</v>
      </c>
      <c r="M569" s="40" t="s">
        <v>34</v>
      </c>
      <c r="N569" s="41" t="str">
        <f t="shared" si="42"/>
        <v>TERMINO INDEFINIDO NUEVO</v>
      </c>
      <c r="O569" s="42">
        <v>183</v>
      </c>
      <c r="P569" s="42">
        <v>3</v>
      </c>
      <c r="Q569" s="35" t="s">
        <v>30</v>
      </c>
      <c r="R569" s="35">
        <v>19</v>
      </c>
      <c r="S569" s="35">
        <v>3</v>
      </c>
      <c r="T569" s="42">
        <v>5</v>
      </c>
    </row>
    <row r="570" spans="1:20">
      <c r="A570" s="36" t="s">
        <v>331</v>
      </c>
      <c r="B570" s="71">
        <v>98429682</v>
      </c>
      <c r="C570" s="36" t="s">
        <v>1041</v>
      </c>
      <c r="D570" s="36" t="s">
        <v>353</v>
      </c>
      <c r="E570" s="36" t="s">
        <v>1016</v>
      </c>
      <c r="F570" s="36"/>
      <c r="G570" s="37">
        <v>3120218.4606586136</v>
      </c>
      <c r="H570" s="38">
        <v>40634</v>
      </c>
      <c r="I570" s="39"/>
      <c r="J570" s="38">
        <v>28121</v>
      </c>
      <c r="K570" s="36">
        <f t="shared" si="43"/>
        <v>-76.99166666666666</v>
      </c>
      <c r="L570" s="36">
        <f t="shared" si="44"/>
        <v>-111.25277777777778</v>
      </c>
      <c r="M570" s="40" t="s">
        <v>34</v>
      </c>
      <c r="N570" s="41" t="str">
        <f t="shared" si="42"/>
        <v>TERMINO INDEFINIDO NUEVO</v>
      </c>
      <c r="O570" s="42">
        <v>183</v>
      </c>
      <c r="P570" s="42">
        <v>3</v>
      </c>
      <c r="Q570" s="35" t="s">
        <v>30</v>
      </c>
      <c r="R570" s="35">
        <v>19</v>
      </c>
      <c r="S570" s="35">
        <v>3</v>
      </c>
      <c r="T570" s="42">
        <v>5</v>
      </c>
    </row>
    <row r="571" spans="1:20">
      <c r="A571" s="24" t="s">
        <v>286</v>
      </c>
      <c r="B571" s="188" t="s">
        <v>1042</v>
      </c>
      <c r="C571" s="25" t="s">
        <v>1043</v>
      </c>
      <c r="D571" s="25" t="s">
        <v>365</v>
      </c>
      <c r="E571" s="25" t="s">
        <v>1016</v>
      </c>
      <c r="F571" s="25"/>
      <c r="G571" s="26">
        <v>2786824.0936192917</v>
      </c>
      <c r="H571" s="27">
        <v>46023</v>
      </c>
      <c r="I571" s="28">
        <v>46295</v>
      </c>
      <c r="J571" s="27">
        <v>27859</v>
      </c>
      <c r="K571" s="25">
        <f t="shared" si="43"/>
        <v>-76.275000000000006</v>
      </c>
      <c r="L571" s="25">
        <f t="shared" si="44"/>
        <v>-126.00277777777778</v>
      </c>
      <c r="M571" s="73">
        <v>1</v>
      </c>
      <c r="N571" s="30" t="str">
        <f t="shared" si="42"/>
        <v>TERMINO FIJO</v>
      </c>
      <c r="O571" s="29">
        <v>183</v>
      </c>
      <c r="P571" s="32">
        <v>5</v>
      </c>
      <c r="Q571" s="29" t="s">
        <v>30</v>
      </c>
      <c r="R571" s="29">
        <v>19</v>
      </c>
      <c r="S571" s="29">
        <v>3</v>
      </c>
      <c r="T571" s="32">
        <v>7</v>
      </c>
    </row>
    <row r="572" spans="1:20">
      <c r="A572" s="36" t="s">
        <v>264</v>
      </c>
      <c r="B572" s="71">
        <v>13053606</v>
      </c>
      <c r="C572" s="36" t="s">
        <v>1044</v>
      </c>
      <c r="D572" s="36" t="s">
        <v>267</v>
      </c>
      <c r="E572" s="36" t="s">
        <v>1016</v>
      </c>
      <c r="F572" s="36"/>
      <c r="G572" s="37">
        <v>3231586.9520465797</v>
      </c>
      <c r="H572" s="38">
        <v>38050</v>
      </c>
      <c r="I572" s="39"/>
      <c r="J572" s="38">
        <v>26550</v>
      </c>
      <c r="K572" s="36">
        <f t="shared" si="43"/>
        <v>-72.688888888888883</v>
      </c>
      <c r="L572" s="36">
        <f t="shared" si="44"/>
        <v>-104.17777777777778</v>
      </c>
      <c r="M572" s="40" t="s">
        <v>34</v>
      </c>
      <c r="N572" s="41" t="str">
        <f t="shared" si="42"/>
        <v>TERMINO INDEFINIDO NUEVO</v>
      </c>
      <c r="O572" s="42">
        <v>182</v>
      </c>
      <c r="P572" s="42">
        <v>5</v>
      </c>
      <c r="Q572" s="35" t="s">
        <v>30</v>
      </c>
      <c r="R572" s="35">
        <v>19</v>
      </c>
      <c r="S572" s="35">
        <v>3</v>
      </c>
      <c r="T572" s="42">
        <v>7</v>
      </c>
    </row>
    <row r="573" spans="1:20">
      <c r="A573" s="36" t="s">
        <v>264</v>
      </c>
      <c r="B573" s="71">
        <v>87950736</v>
      </c>
      <c r="C573" s="36" t="s">
        <v>1045</v>
      </c>
      <c r="D573" s="36" t="s">
        <v>267</v>
      </c>
      <c r="E573" s="36" t="s">
        <v>1016</v>
      </c>
      <c r="F573" s="36" t="s">
        <v>1046</v>
      </c>
      <c r="G573" s="37">
        <v>3231587</v>
      </c>
      <c r="H573" s="38">
        <v>42411</v>
      </c>
      <c r="I573" s="39"/>
      <c r="J573" s="38">
        <v>31346</v>
      </c>
      <c r="K573" s="36">
        <f t="shared" si="43"/>
        <v>-85.822222222222223</v>
      </c>
      <c r="L573" s="36">
        <f t="shared" si="44"/>
        <v>-116.11388888888889</v>
      </c>
      <c r="M573" s="40" t="s">
        <v>34</v>
      </c>
      <c r="N573" s="41" t="str">
        <f t="shared" si="42"/>
        <v>TERMINO INDEFINIDO NUEVO</v>
      </c>
      <c r="O573" s="42">
        <v>183</v>
      </c>
      <c r="P573" s="42">
        <v>5</v>
      </c>
      <c r="Q573" s="35" t="s">
        <v>30</v>
      </c>
      <c r="R573" s="35">
        <v>19</v>
      </c>
      <c r="S573" s="35">
        <v>3</v>
      </c>
      <c r="T573" s="42">
        <v>7</v>
      </c>
    </row>
    <row r="574" spans="1:20">
      <c r="A574" s="25" t="s">
        <v>264</v>
      </c>
      <c r="B574" s="54" t="s">
        <v>1047</v>
      </c>
      <c r="C574" s="25" t="s">
        <v>1048</v>
      </c>
      <c r="D574" s="25" t="s">
        <v>267</v>
      </c>
      <c r="E574" s="25" t="s">
        <v>1049</v>
      </c>
      <c r="F574" s="25" t="s">
        <v>1050</v>
      </c>
      <c r="G574" s="26">
        <v>3661249.9185000001</v>
      </c>
      <c r="H574" s="27">
        <v>32568</v>
      </c>
      <c r="I574" s="28"/>
      <c r="J574" s="27">
        <v>25534</v>
      </c>
      <c r="K574" s="25">
        <f t="shared" si="43"/>
        <v>-69.908333333333331</v>
      </c>
      <c r="L574" s="25">
        <f t="shared" si="44"/>
        <v>-89.169444444444451</v>
      </c>
      <c r="M574" s="29">
        <v>2</v>
      </c>
      <c r="N574" s="76" t="str">
        <f t="shared" si="42"/>
        <v>TERMINO INDEFINIDO</v>
      </c>
      <c r="O574" s="32">
        <v>183</v>
      </c>
      <c r="P574" s="32">
        <v>3</v>
      </c>
      <c r="Q574" s="29" t="s">
        <v>30</v>
      </c>
      <c r="R574" s="29">
        <v>19</v>
      </c>
      <c r="S574" s="29">
        <v>3</v>
      </c>
      <c r="T574" s="32">
        <v>7</v>
      </c>
    </row>
    <row r="575" spans="1:20">
      <c r="A575" s="25" t="s">
        <v>264</v>
      </c>
      <c r="B575" s="54" t="s">
        <v>1051</v>
      </c>
      <c r="C575" s="25" t="s">
        <v>1052</v>
      </c>
      <c r="D575" s="25" t="s">
        <v>267</v>
      </c>
      <c r="E575" s="25" t="s">
        <v>1016</v>
      </c>
      <c r="F575" s="25"/>
      <c r="G575" s="26">
        <v>3661249.9185000001</v>
      </c>
      <c r="H575" s="27">
        <v>32036</v>
      </c>
      <c r="I575" s="28"/>
      <c r="J575" s="27">
        <v>23296</v>
      </c>
      <c r="K575" s="25">
        <f t="shared" si="43"/>
        <v>-63.783333333333331</v>
      </c>
      <c r="L575" s="25">
        <f t="shared" si="44"/>
        <v>-87.711111111111109</v>
      </c>
      <c r="M575" s="29">
        <v>2</v>
      </c>
      <c r="N575" s="76" t="str">
        <f t="shared" si="42"/>
        <v>TERMINO INDEFINIDO</v>
      </c>
      <c r="O575" s="32">
        <v>183</v>
      </c>
      <c r="P575" s="32">
        <v>3</v>
      </c>
      <c r="Q575" s="29" t="s">
        <v>30</v>
      </c>
      <c r="R575" s="29">
        <v>19</v>
      </c>
      <c r="S575" s="29">
        <v>4</v>
      </c>
      <c r="T575" s="32">
        <v>7</v>
      </c>
    </row>
    <row r="576" spans="1:20">
      <c r="A576" s="25" t="s">
        <v>264</v>
      </c>
      <c r="B576" s="54" t="s">
        <v>1053</v>
      </c>
      <c r="C576" s="25" t="s">
        <v>1054</v>
      </c>
      <c r="D576" s="25" t="s">
        <v>441</v>
      </c>
      <c r="E576" s="25" t="s">
        <v>1016</v>
      </c>
      <c r="F576" s="25"/>
      <c r="G576" s="26">
        <v>3231587.2779000001</v>
      </c>
      <c r="H576" s="27">
        <v>36130</v>
      </c>
      <c r="I576" s="28"/>
      <c r="J576" s="27">
        <v>20934</v>
      </c>
      <c r="K576" s="25">
        <f t="shared" si="43"/>
        <v>-57.31666666666667</v>
      </c>
      <c r="L576" s="25">
        <f t="shared" si="44"/>
        <v>-98.919444444444451</v>
      </c>
      <c r="M576" s="29">
        <v>2</v>
      </c>
      <c r="N576" s="76" t="str">
        <f t="shared" si="42"/>
        <v>TERMINO INDEFINIDO</v>
      </c>
      <c r="O576" s="32">
        <v>183</v>
      </c>
      <c r="P576" s="32">
        <v>3</v>
      </c>
      <c r="Q576" s="29" t="s">
        <v>30</v>
      </c>
      <c r="R576" s="29">
        <v>19</v>
      </c>
      <c r="S576" s="29">
        <v>3</v>
      </c>
      <c r="T576" s="32">
        <v>7</v>
      </c>
    </row>
    <row r="577" spans="1:20">
      <c r="A577" s="25" t="s">
        <v>264</v>
      </c>
      <c r="B577" s="54" t="s">
        <v>1055</v>
      </c>
      <c r="C577" s="25" t="s">
        <v>1056</v>
      </c>
      <c r="D577" s="25" t="s">
        <v>267</v>
      </c>
      <c r="E577" s="25" t="s">
        <v>1016</v>
      </c>
      <c r="F577" s="25"/>
      <c r="G577" s="26">
        <v>3231586.9520465797</v>
      </c>
      <c r="H577" s="27">
        <v>35156</v>
      </c>
      <c r="I577" s="28"/>
      <c r="J577" s="27">
        <v>25348</v>
      </c>
      <c r="K577" s="25">
        <f t="shared" si="43"/>
        <v>-69.402777777777771</v>
      </c>
      <c r="L577" s="25">
        <f t="shared" si="44"/>
        <v>-96.25277777777778</v>
      </c>
      <c r="M577" s="29">
        <v>2</v>
      </c>
      <c r="N577" s="76" t="str">
        <f t="shared" si="42"/>
        <v>TERMINO INDEFINIDO</v>
      </c>
      <c r="O577" s="32">
        <v>183</v>
      </c>
      <c r="P577" s="32">
        <v>3</v>
      </c>
      <c r="Q577" s="29" t="s">
        <v>30</v>
      </c>
      <c r="R577" s="29">
        <v>19</v>
      </c>
      <c r="S577" s="29">
        <v>3</v>
      </c>
      <c r="T577" s="32">
        <v>7</v>
      </c>
    </row>
    <row r="578" spans="1:20">
      <c r="A578" s="25" t="s">
        <v>264</v>
      </c>
      <c r="B578" s="54" t="s">
        <v>1057</v>
      </c>
      <c r="C578" s="25" t="s">
        <v>1058</v>
      </c>
      <c r="D578" s="25" t="s">
        <v>267</v>
      </c>
      <c r="E578" s="25" t="s">
        <v>1016</v>
      </c>
      <c r="F578" s="25"/>
      <c r="G578" s="26">
        <v>3231586.9520465797</v>
      </c>
      <c r="H578" s="27">
        <v>36439</v>
      </c>
      <c r="I578" s="28"/>
      <c r="J578" s="27">
        <v>24411</v>
      </c>
      <c r="K578" s="25">
        <f t="shared" si="43"/>
        <v>-66.833333333333329</v>
      </c>
      <c r="L578" s="25">
        <f t="shared" si="44"/>
        <v>-99.766666666666666</v>
      </c>
      <c r="M578" s="29">
        <v>2</v>
      </c>
      <c r="N578" s="76" t="str">
        <f t="shared" si="42"/>
        <v>TERMINO INDEFINIDO</v>
      </c>
      <c r="O578" s="32">
        <v>183</v>
      </c>
      <c r="P578" s="32">
        <v>3</v>
      </c>
      <c r="Q578" s="29" t="s">
        <v>30</v>
      </c>
      <c r="R578" s="29">
        <v>19</v>
      </c>
      <c r="S578" s="29">
        <v>3</v>
      </c>
      <c r="T578" s="32">
        <v>7</v>
      </c>
    </row>
    <row r="579" spans="1:20">
      <c r="A579" s="36" t="s">
        <v>264</v>
      </c>
      <c r="B579" s="71">
        <v>12919399</v>
      </c>
      <c r="C579" s="36" t="s">
        <v>1059</v>
      </c>
      <c r="D579" s="36" t="s">
        <v>267</v>
      </c>
      <c r="E579" s="36" t="s">
        <v>1016</v>
      </c>
      <c r="F579" s="36" t="s">
        <v>1060</v>
      </c>
      <c r="G579" s="37">
        <v>3231586.9520465797</v>
      </c>
      <c r="H579" s="38">
        <v>38719</v>
      </c>
      <c r="I579" s="39"/>
      <c r="J579" s="38">
        <v>26067</v>
      </c>
      <c r="K579" s="36">
        <f t="shared" si="43"/>
        <v>-71.37222222222222</v>
      </c>
      <c r="L579" s="36">
        <f t="shared" si="44"/>
        <v>-106.00555555555556</v>
      </c>
      <c r="M579" s="40" t="s">
        <v>34</v>
      </c>
      <c r="N579" s="41" t="str">
        <f t="shared" si="42"/>
        <v>TERMINO INDEFINIDO NUEVO</v>
      </c>
      <c r="O579" s="42">
        <v>183</v>
      </c>
      <c r="P579" s="42">
        <v>3</v>
      </c>
      <c r="Q579" s="35" t="s">
        <v>30</v>
      </c>
      <c r="R579" s="35">
        <v>19</v>
      </c>
      <c r="S579" s="35">
        <v>3</v>
      </c>
      <c r="T579" s="42">
        <v>7</v>
      </c>
    </row>
    <row r="580" spans="1:20">
      <c r="A580" s="25" t="s">
        <v>264</v>
      </c>
      <c r="B580" s="25" t="s">
        <v>1061</v>
      </c>
      <c r="C580" s="25" t="s">
        <v>1062</v>
      </c>
      <c r="D580" s="25" t="s">
        <v>441</v>
      </c>
      <c r="E580" s="25" t="s">
        <v>1049</v>
      </c>
      <c r="F580" s="25"/>
      <c r="G580" s="26">
        <v>3231586.9520465797</v>
      </c>
      <c r="H580" s="27">
        <v>37073</v>
      </c>
      <c r="I580" s="28"/>
      <c r="J580" s="27">
        <v>27319</v>
      </c>
      <c r="K580" s="25">
        <f t="shared" si="43"/>
        <v>-74.797222222222217</v>
      </c>
      <c r="L580" s="25">
        <f t="shared" si="44"/>
        <v>-101.50277777777778</v>
      </c>
      <c r="M580" s="29">
        <v>2</v>
      </c>
      <c r="N580" s="76" t="str">
        <f t="shared" si="42"/>
        <v>TERMINO INDEFINIDO</v>
      </c>
      <c r="O580" s="32">
        <v>183</v>
      </c>
      <c r="P580" s="32">
        <v>3</v>
      </c>
      <c r="Q580" s="29" t="s">
        <v>30</v>
      </c>
      <c r="R580" s="29">
        <v>19</v>
      </c>
      <c r="S580" s="29">
        <v>5</v>
      </c>
      <c r="T580" s="32">
        <v>7</v>
      </c>
    </row>
    <row r="581" spans="1:20">
      <c r="A581" s="25" t="s">
        <v>237</v>
      </c>
      <c r="B581" s="25"/>
      <c r="C581" s="25" t="s">
        <v>133</v>
      </c>
      <c r="D581" s="25" t="s">
        <v>239</v>
      </c>
      <c r="E581" s="25" t="s">
        <v>1016</v>
      </c>
      <c r="F581" s="25"/>
      <c r="G581" s="26"/>
      <c r="H581" s="27"/>
      <c r="I581" s="28"/>
      <c r="J581" s="27"/>
      <c r="K581" s="25">
        <f t="shared" si="43"/>
        <v>0</v>
      </c>
      <c r="L581" s="25">
        <f t="shared" si="44"/>
        <v>0</v>
      </c>
      <c r="M581" s="29">
        <v>91</v>
      </c>
      <c r="N581" s="76" t="str">
        <f t="shared" si="42"/>
        <v>OTRO</v>
      </c>
      <c r="O581" s="32">
        <v>181</v>
      </c>
      <c r="P581" s="32"/>
      <c r="Q581" s="29"/>
      <c r="R581" s="29"/>
      <c r="S581" s="29"/>
      <c r="T581" s="32"/>
    </row>
    <row r="582" spans="1:20">
      <c r="A582" s="25" t="s">
        <v>511</v>
      </c>
      <c r="B582" s="30">
        <v>1107072467</v>
      </c>
      <c r="C582" s="29" t="s">
        <v>1063</v>
      </c>
      <c r="D582" s="25" t="s">
        <v>650</v>
      </c>
      <c r="E582" s="25" t="s">
        <v>1064</v>
      </c>
      <c r="F582" s="25"/>
      <c r="G582" s="26">
        <v>2802739.1336794067</v>
      </c>
      <c r="H582" s="27">
        <v>45875</v>
      </c>
      <c r="I582" s="28">
        <v>46295</v>
      </c>
      <c r="J582" s="27">
        <v>33647</v>
      </c>
      <c r="K582" s="25">
        <f t="shared" si="43"/>
        <v>-92.11944444444444</v>
      </c>
      <c r="L582" s="25">
        <f t="shared" si="44"/>
        <v>-125.6</v>
      </c>
      <c r="M582" s="73">
        <v>1</v>
      </c>
      <c r="N582" s="76" t="str">
        <f t="shared" si="42"/>
        <v>TERMINO FIJO</v>
      </c>
      <c r="O582" s="32">
        <v>182</v>
      </c>
      <c r="P582" s="32">
        <v>5</v>
      </c>
      <c r="Q582" s="29" t="s">
        <v>30</v>
      </c>
      <c r="R582" s="29">
        <v>19</v>
      </c>
      <c r="S582" s="29">
        <v>2</v>
      </c>
      <c r="T582" s="32">
        <v>5</v>
      </c>
    </row>
    <row r="583" spans="1:20">
      <c r="A583" s="114" t="s">
        <v>56</v>
      </c>
      <c r="B583" s="71">
        <v>1087778081</v>
      </c>
      <c r="C583" s="36" t="s">
        <v>1065</v>
      </c>
      <c r="D583" s="36" t="s">
        <v>275</v>
      </c>
      <c r="E583" s="36" t="s">
        <v>1016</v>
      </c>
      <c r="F583" s="36"/>
      <c r="G583" s="37">
        <v>3231586.9520465797</v>
      </c>
      <c r="H583" s="38">
        <v>40567</v>
      </c>
      <c r="I583" s="39"/>
      <c r="J583" s="38">
        <v>32542</v>
      </c>
      <c r="K583" s="36">
        <f t="shared" si="43"/>
        <v>-89.091666666666669</v>
      </c>
      <c r="L583" s="36">
        <f t="shared" si="44"/>
        <v>-111.06666666666666</v>
      </c>
      <c r="M583" s="40" t="s">
        <v>34</v>
      </c>
      <c r="N583" s="41" t="str">
        <f t="shared" si="42"/>
        <v>TERMINO INDEFINIDO NUEVO</v>
      </c>
      <c r="O583" s="42">
        <v>182</v>
      </c>
      <c r="P583" s="42">
        <v>5</v>
      </c>
      <c r="Q583" s="35" t="s">
        <v>30</v>
      </c>
      <c r="R583" s="35">
        <v>19</v>
      </c>
      <c r="S583" s="35"/>
      <c r="T583" s="42">
        <v>5</v>
      </c>
    </row>
    <row r="584" spans="1:20">
      <c r="A584" s="114" t="s">
        <v>56</v>
      </c>
      <c r="B584" s="71">
        <v>12914565</v>
      </c>
      <c r="C584" s="36" t="s">
        <v>1066</v>
      </c>
      <c r="D584" s="36" t="s">
        <v>275</v>
      </c>
      <c r="E584" s="36" t="s">
        <v>1016</v>
      </c>
      <c r="F584" s="36"/>
      <c r="G584" s="37">
        <v>3231586.9520465797</v>
      </c>
      <c r="H584" s="38">
        <v>39098</v>
      </c>
      <c r="I584" s="39"/>
      <c r="J584" s="38">
        <v>24106</v>
      </c>
      <c r="K584" s="36">
        <f t="shared" si="43"/>
        <v>-66</v>
      </c>
      <c r="L584" s="36">
        <f t="shared" si="44"/>
        <v>-107.04444444444445</v>
      </c>
      <c r="M584" s="40" t="s">
        <v>34</v>
      </c>
      <c r="N584" s="41" t="str">
        <f t="shared" si="42"/>
        <v>TERMINO INDEFINIDO NUEVO</v>
      </c>
      <c r="O584" s="42">
        <v>182</v>
      </c>
      <c r="P584" s="42">
        <v>5</v>
      </c>
      <c r="Q584" s="35" t="s">
        <v>30</v>
      </c>
      <c r="R584" s="35">
        <v>19</v>
      </c>
      <c r="S584" s="35">
        <v>3</v>
      </c>
      <c r="T584" s="42">
        <v>5</v>
      </c>
    </row>
    <row r="585" spans="1:20">
      <c r="A585" s="114" t="s">
        <v>56</v>
      </c>
      <c r="B585" s="71">
        <v>12917785</v>
      </c>
      <c r="C585" s="36" t="s">
        <v>1067</v>
      </c>
      <c r="D585" s="36" t="s">
        <v>275</v>
      </c>
      <c r="E585" s="36" t="s">
        <v>1016</v>
      </c>
      <c r="F585" s="36"/>
      <c r="G585" s="37">
        <v>3231586.9520465797</v>
      </c>
      <c r="H585" s="38">
        <v>38596</v>
      </c>
      <c r="I585" s="39"/>
      <c r="J585" s="38">
        <v>25556</v>
      </c>
      <c r="K585" s="36">
        <f t="shared" si="43"/>
        <v>-69.969444444444449</v>
      </c>
      <c r="L585" s="36">
        <f t="shared" si="44"/>
        <v>-105.66944444444445</v>
      </c>
      <c r="M585" s="40" t="s">
        <v>34</v>
      </c>
      <c r="N585" s="41" t="str">
        <f t="shared" ref="N585:N591" si="45">IF(M585=3,"SALARIO INTEGRAL",IF(M585=2,"TERMINO INDEFINIDO",IF(M585=1,"TERMINO FIJO",IF(M585="2_N","TERMINO INDEFINIDO NUEVO","OTRO"))))</f>
        <v>TERMINO INDEFINIDO NUEVO</v>
      </c>
      <c r="O585" s="42">
        <v>183</v>
      </c>
      <c r="P585" s="42">
        <v>3</v>
      </c>
      <c r="Q585" s="35" t="s">
        <v>30</v>
      </c>
      <c r="R585" s="35">
        <v>19</v>
      </c>
      <c r="S585" s="35">
        <v>3</v>
      </c>
      <c r="T585" s="42">
        <v>5</v>
      </c>
    </row>
    <row r="586" spans="1:20">
      <c r="A586" s="72" t="s">
        <v>56</v>
      </c>
      <c r="B586" s="189"/>
      <c r="C586" s="25" t="s">
        <v>133</v>
      </c>
      <c r="D586" s="25" t="s">
        <v>275</v>
      </c>
      <c r="E586" s="25" t="s">
        <v>1016</v>
      </c>
      <c r="F586" s="25"/>
      <c r="G586" s="26">
        <v>3231586.9520465797</v>
      </c>
      <c r="H586" s="27"/>
      <c r="I586" s="28"/>
      <c r="J586" s="27"/>
      <c r="K586" s="25">
        <f t="shared" si="43"/>
        <v>0</v>
      </c>
      <c r="L586" s="25">
        <f t="shared" si="44"/>
        <v>0</v>
      </c>
      <c r="M586" s="73">
        <v>91</v>
      </c>
      <c r="N586" s="76" t="str">
        <f t="shared" si="45"/>
        <v>OTRO</v>
      </c>
      <c r="O586" s="32">
        <v>182</v>
      </c>
      <c r="P586" s="32"/>
      <c r="Q586" s="29"/>
      <c r="R586" s="29"/>
      <c r="S586" s="29"/>
      <c r="T586" s="32"/>
    </row>
    <row r="587" spans="1:20">
      <c r="A587" s="114" t="s">
        <v>56</v>
      </c>
      <c r="B587" s="71">
        <v>87942121</v>
      </c>
      <c r="C587" s="36" t="s">
        <v>1068</v>
      </c>
      <c r="D587" s="36" t="s">
        <v>275</v>
      </c>
      <c r="E587" s="36" t="s">
        <v>1016</v>
      </c>
      <c r="F587" s="36"/>
      <c r="G587" s="37">
        <v>3231586.9520465797</v>
      </c>
      <c r="H587" s="38">
        <v>40253</v>
      </c>
      <c r="I587" s="39"/>
      <c r="J587" s="38">
        <v>29793</v>
      </c>
      <c r="K587" s="36">
        <f t="shared" si="43"/>
        <v>-81.572222222222223</v>
      </c>
      <c r="L587" s="36">
        <f t="shared" si="44"/>
        <v>-110.21111111111111</v>
      </c>
      <c r="M587" s="40" t="s">
        <v>34</v>
      </c>
      <c r="N587" s="41" t="str">
        <f t="shared" si="45"/>
        <v>TERMINO INDEFINIDO NUEVO</v>
      </c>
      <c r="O587" s="42">
        <v>182</v>
      </c>
      <c r="P587" s="42">
        <v>5</v>
      </c>
      <c r="Q587" s="35" t="s">
        <v>30</v>
      </c>
      <c r="R587" s="35">
        <v>19</v>
      </c>
      <c r="S587" s="35">
        <v>3</v>
      </c>
      <c r="T587" s="42">
        <v>5</v>
      </c>
    </row>
    <row r="588" spans="1:20">
      <c r="A588" s="118" t="s">
        <v>56</v>
      </c>
      <c r="B588" s="61">
        <v>87942491</v>
      </c>
      <c r="C588" s="62" t="s">
        <v>1069</v>
      </c>
      <c r="D588" s="62" t="s">
        <v>275</v>
      </c>
      <c r="E588" s="62" t="s">
        <v>1016</v>
      </c>
      <c r="F588" s="62"/>
      <c r="G588" s="63">
        <v>3231586.9520465797</v>
      </c>
      <c r="H588" s="64">
        <v>44063</v>
      </c>
      <c r="I588" s="65"/>
      <c r="J588" s="64">
        <v>29642</v>
      </c>
      <c r="K588" s="62">
        <f t="shared" si="43"/>
        <v>-81.152777777777771</v>
      </c>
      <c r="L588" s="62">
        <f t="shared" si="44"/>
        <v>-120.63888888888889</v>
      </c>
      <c r="M588" s="66" t="s">
        <v>34</v>
      </c>
      <c r="N588" s="67" t="str">
        <f t="shared" si="45"/>
        <v>TERMINO INDEFINIDO NUEVO</v>
      </c>
      <c r="O588" s="68">
        <v>182</v>
      </c>
      <c r="P588" s="68">
        <v>5</v>
      </c>
      <c r="Q588" s="69" t="s">
        <v>30</v>
      </c>
      <c r="R588" s="69">
        <v>19</v>
      </c>
      <c r="S588" s="66">
        <v>3</v>
      </c>
      <c r="T588" s="68">
        <v>5</v>
      </c>
    </row>
    <row r="589" spans="1:20">
      <c r="A589" s="190">
        <v>10130</v>
      </c>
      <c r="B589" s="25"/>
      <c r="C589" s="25" t="s">
        <v>1070</v>
      </c>
      <c r="D589" s="25" t="s">
        <v>275</v>
      </c>
      <c r="E589" s="25" t="s">
        <v>1016</v>
      </c>
      <c r="F589" s="25"/>
      <c r="G589" s="26">
        <v>3231586.9520465797</v>
      </c>
      <c r="H589" s="27"/>
      <c r="I589" s="28"/>
      <c r="J589" s="27"/>
      <c r="K589" s="25">
        <f t="shared" si="43"/>
        <v>0</v>
      </c>
      <c r="L589" s="25">
        <f t="shared" si="44"/>
        <v>0</v>
      </c>
      <c r="M589" s="29">
        <v>0</v>
      </c>
      <c r="N589" s="76" t="str">
        <f t="shared" si="45"/>
        <v>OTRO</v>
      </c>
      <c r="O589" s="32"/>
      <c r="P589" s="32">
        <v>0</v>
      </c>
      <c r="Q589" s="29"/>
      <c r="R589" s="29"/>
      <c r="S589" s="59"/>
      <c r="T589" s="32">
        <v>5</v>
      </c>
    </row>
    <row r="590" spans="1:20">
      <c r="A590" s="114" t="s">
        <v>56</v>
      </c>
      <c r="B590" s="71">
        <v>12919192</v>
      </c>
      <c r="C590" s="36" t="s">
        <v>1071</v>
      </c>
      <c r="D590" s="36" t="s">
        <v>275</v>
      </c>
      <c r="E590" s="36" t="s">
        <v>1016</v>
      </c>
      <c r="F590" s="36"/>
      <c r="G590" s="37">
        <v>3231586.9520465797</v>
      </c>
      <c r="H590" s="38">
        <v>39508</v>
      </c>
      <c r="I590" s="39"/>
      <c r="J590" s="38">
        <v>25684</v>
      </c>
      <c r="K590" s="36">
        <f t="shared" si="43"/>
        <v>-70.322222222222223</v>
      </c>
      <c r="L590" s="36">
        <f t="shared" si="44"/>
        <v>-108.16944444444445</v>
      </c>
      <c r="M590" s="40" t="s">
        <v>34</v>
      </c>
      <c r="N590" s="41" t="str">
        <f t="shared" si="45"/>
        <v>TERMINO INDEFINIDO NUEVO</v>
      </c>
      <c r="O590" s="42">
        <v>182</v>
      </c>
      <c r="P590" s="42">
        <v>5</v>
      </c>
      <c r="Q590" s="35" t="s">
        <v>30</v>
      </c>
      <c r="R590" s="35">
        <v>19</v>
      </c>
      <c r="S590" s="42">
        <v>4</v>
      </c>
      <c r="T590" s="42">
        <v>5</v>
      </c>
    </row>
    <row r="591" spans="1:20">
      <c r="A591" s="191" t="s">
        <v>56</v>
      </c>
      <c r="B591" s="192">
        <v>1087107628</v>
      </c>
      <c r="C591" s="193" t="s">
        <v>1072</v>
      </c>
      <c r="D591" s="193" t="s">
        <v>275</v>
      </c>
      <c r="E591" s="193" t="s">
        <v>1016</v>
      </c>
      <c r="F591" s="193"/>
      <c r="G591" s="194">
        <v>3231586.9520465797</v>
      </c>
      <c r="H591" s="195">
        <v>42667</v>
      </c>
      <c r="I591" s="196"/>
      <c r="J591" s="195">
        <v>30391</v>
      </c>
      <c r="K591" s="193">
        <f t="shared" si="43"/>
        <v>-83.211111111111109</v>
      </c>
      <c r="L591" s="193">
        <f t="shared" si="44"/>
        <v>-116.81666666666666</v>
      </c>
      <c r="M591" s="197" t="s">
        <v>34</v>
      </c>
      <c r="N591" s="198" t="str">
        <f t="shared" si="45"/>
        <v>TERMINO INDEFINIDO NUEVO</v>
      </c>
      <c r="O591" s="199">
        <v>182</v>
      </c>
      <c r="P591" s="199">
        <v>5</v>
      </c>
      <c r="Q591" s="200" t="s">
        <v>30</v>
      </c>
      <c r="R591" s="200">
        <v>19</v>
      </c>
      <c r="S591" s="199">
        <v>3</v>
      </c>
      <c r="T591" s="199">
        <v>5</v>
      </c>
    </row>
    <row r="592" spans="1:20">
      <c r="A592" s="3"/>
      <c r="B592" s="3"/>
      <c r="C592" s="3"/>
      <c r="D592" s="3"/>
      <c r="E592" s="3"/>
      <c r="F592" s="3"/>
      <c r="G592" s="1"/>
      <c r="H592" s="3"/>
      <c r="I592" s="4"/>
      <c r="J592" s="3"/>
      <c r="K592" s="3"/>
      <c r="L592" s="3"/>
      <c r="M592" s="3"/>
      <c r="N592" s="6"/>
      <c r="O592" s="3"/>
      <c r="P592" s="3"/>
      <c r="Q592" s="3"/>
      <c r="R592" s="3"/>
      <c r="S592" s="3"/>
      <c r="T592" s="3"/>
    </row>
    <row r="593" spans="1:20">
      <c r="A593" s="3"/>
      <c r="B593" s="201"/>
      <c r="C593" s="3" t="s">
        <v>1073</v>
      </c>
      <c r="D593" s="3"/>
      <c r="E593" s="3"/>
      <c r="F593" s="3"/>
      <c r="G593" s="1"/>
      <c r="H593" s="3"/>
      <c r="I593" s="4"/>
      <c r="J593" s="3"/>
      <c r="K593" s="3"/>
      <c r="L593" s="3"/>
      <c r="M593" s="3"/>
      <c r="N593" s="6"/>
      <c r="O593" s="3"/>
      <c r="P593" s="3"/>
      <c r="Q593" s="3"/>
      <c r="R593" s="3"/>
      <c r="S593" s="3"/>
      <c r="T593" s="3"/>
    </row>
    <row r="594" spans="1:20">
      <c r="A594" s="3"/>
      <c r="B594" s="202"/>
      <c r="C594" s="3" t="s">
        <v>1074</v>
      </c>
      <c r="D594" s="3"/>
      <c r="E594" s="3"/>
      <c r="F594" s="3"/>
      <c r="G594" s="14" t="s">
        <v>1075</v>
      </c>
      <c r="H594" s="3"/>
      <c r="I594" s="4"/>
      <c r="J594" s="3"/>
      <c r="K594" s="3"/>
      <c r="L594" s="3"/>
      <c r="M594" s="3"/>
      <c r="N594" s="6"/>
      <c r="O594" s="3"/>
      <c r="P594" s="3"/>
      <c r="Q594" s="3"/>
      <c r="R594" s="3"/>
      <c r="S594" s="3"/>
      <c r="T594" s="3"/>
    </row>
    <row r="595" spans="1:20">
      <c r="A595" s="1"/>
      <c r="B595" s="203"/>
      <c r="C595" s="1" t="s">
        <v>1076</v>
      </c>
      <c r="D595" s="14"/>
      <c r="E595" s="14"/>
      <c r="F595" s="14"/>
      <c r="G595" s="1"/>
      <c r="H595" s="3"/>
      <c r="I595" s="4"/>
      <c r="J595" s="3"/>
      <c r="K595" s="1"/>
      <c r="L595" s="1"/>
      <c r="M595" s="3"/>
      <c r="N595" s="6"/>
      <c r="O595" s="3"/>
      <c r="P595" s="3"/>
      <c r="Q595" s="3"/>
      <c r="R595" s="3"/>
      <c r="S595" s="3"/>
      <c r="T595" s="3"/>
    </row>
    <row r="596" spans="1:20">
      <c r="A596" s="1"/>
      <c r="B596" s="204"/>
      <c r="C596" s="1" t="s">
        <v>1077</v>
      </c>
      <c r="D596" s="14"/>
      <c r="E596" s="14"/>
      <c r="F596" s="14"/>
      <c r="G596" s="1"/>
      <c r="H596" s="3"/>
      <c r="I596" s="4"/>
      <c r="J596" s="3"/>
      <c r="K596" s="1"/>
      <c r="L596" s="1"/>
      <c r="M596" s="3"/>
      <c r="N596" s="6"/>
      <c r="O596" s="3"/>
      <c r="P596" s="3"/>
      <c r="Q596" s="3"/>
      <c r="R596" s="3"/>
      <c r="S596" s="3"/>
      <c r="T596" s="3"/>
    </row>
    <row r="597" spans="1:20">
      <c r="A597" s="1"/>
      <c r="B597" s="1"/>
      <c r="C597" s="1"/>
      <c r="D597" s="1"/>
      <c r="E597" s="1"/>
      <c r="F597" s="1"/>
      <c r="G597" s="1"/>
      <c r="H597" s="3"/>
      <c r="I597" s="4"/>
      <c r="J597" s="3"/>
      <c r="K597" s="1"/>
      <c r="L597" s="1"/>
      <c r="M597" s="3"/>
      <c r="N597" s="6"/>
      <c r="O597" s="3"/>
      <c r="P597" s="3"/>
      <c r="Q597" s="3"/>
      <c r="R597" s="3"/>
      <c r="S597" s="3"/>
      <c r="T597" s="3"/>
    </row>
    <row r="598" spans="1:20">
      <c r="A598" s="1"/>
      <c r="B598" s="1"/>
      <c r="C598" s="14" t="s">
        <v>17</v>
      </c>
      <c r="D598" s="14"/>
      <c r="E598" s="1"/>
      <c r="F598" s="14"/>
      <c r="G598" s="1"/>
      <c r="H598" s="3"/>
      <c r="I598" s="4"/>
      <c r="J598" s="3"/>
      <c r="K598" s="1"/>
      <c r="L598" s="1"/>
      <c r="M598" s="3"/>
      <c r="N598" s="6"/>
      <c r="O598" s="3"/>
      <c r="P598" s="3"/>
      <c r="Q598" s="3"/>
      <c r="R598" s="3"/>
      <c r="S598" s="3"/>
      <c r="T598" s="3"/>
    </row>
    <row r="599" spans="1:20">
      <c r="A599" s="1"/>
      <c r="B599" s="1"/>
      <c r="C599" s="25" t="s">
        <v>1078</v>
      </c>
      <c r="D599" s="205">
        <f>COUNTIF(M9:M591,1)</f>
        <v>74</v>
      </c>
      <c r="E599" s="1"/>
      <c r="F599" s="1"/>
      <c r="G599" s="17" t="s">
        <v>21</v>
      </c>
      <c r="H599" s="1"/>
      <c r="I599" s="4"/>
      <c r="J599" s="3"/>
      <c r="K599" s="1"/>
      <c r="L599" s="1"/>
      <c r="M599" s="3"/>
      <c r="N599" s="6"/>
      <c r="O599" s="3"/>
      <c r="P599" s="3"/>
      <c r="Q599" s="3"/>
      <c r="R599" s="3"/>
      <c r="S599" s="3"/>
      <c r="T599" s="3"/>
    </row>
    <row r="600" spans="1:20">
      <c r="A600" s="1"/>
      <c r="B600" s="1"/>
      <c r="C600" s="25" t="s">
        <v>1079</v>
      </c>
      <c r="D600" s="205">
        <f>COUNTIFS(M9:M591,2)</f>
        <v>180</v>
      </c>
      <c r="E600" s="1"/>
      <c r="F600" s="1"/>
      <c r="G600" s="29" t="s">
        <v>1080</v>
      </c>
      <c r="H600" s="25">
        <f>COUNTIF(Q10:Q591,"M")</f>
        <v>427</v>
      </c>
      <c r="I600" s="4"/>
      <c r="J600" s="3"/>
      <c r="K600" s="1"/>
      <c r="L600" s="1"/>
      <c r="M600" s="3"/>
      <c r="N600" s="6"/>
      <c r="O600" s="3"/>
      <c r="P600" s="3"/>
      <c r="Q600" s="3"/>
      <c r="R600" s="3"/>
      <c r="S600" s="3"/>
      <c r="T600" s="3"/>
    </row>
    <row r="601" spans="1:20">
      <c r="A601" s="1"/>
      <c r="B601" s="1"/>
      <c r="C601" s="25" t="s">
        <v>1081</v>
      </c>
      <c r="D601" s="205">
        <f>COUNTIF(M9:M591,"2_N")</f>
        <v>288</v>
      </c>
      <c r="E601" s="1"/>
      <c r="F601" s="1"/>
      <c r="G601" s="29" t="s">
        <v>1082</v>
      </c>
      <c r="H601" s="25">
        <f>COUNTIF(Q10:Q591,"F")</f>
        <v>130</v>
      </c>
      <c r="I601" s="4"/>
      <c r="J601" s="3"/>
      <c r="K601" s="1"/>
      <c r="L601" s="1"/>
      <c r="M601" s="3"/>
      <c r="N601" s="6"/>
      <c r="O601" s="3"/>
      <c r="P601" s="3"/>
      <c r="Q601" s="3"/>
      <c r="R601" s="3"/>
      <c r="S601" s="3"/>
      <c r="T601" s="3"/>
    </row>
    <row r="602" spans="1:20">
      <c r="A602" s="1"/>
      <c r="B602" s="1"/>
      <c r="C602" s="25" t="s">
        <v>1083</v>
      </c>
      <c r="D602" s="205">
        <f>COUNTIF(M9:M591,3)</f>
        <v>15</v>
      </c>
      <c r="E602" s="1"/>
      <c r="F602" s="1"/>
      <c r="G602" s="206"/>
      <c r="H602" s="14">
        <f>SUM(H600:H601)</f>
        <v>557</v>
      </c>
      <c r="I602" s="4"/>
      <c r="J602" s="3"/>
      <c r="K602" s="1"/>
      <c r="L602" s="1"/>
      <c r="M602" s="3"/>
      <c r="N602" s="6"/>
      <c r="O602" s="3"/>
      <c r="P602" s="3"/>
      <c r="Q602" s="3"/>
      <c r="R602" s="3"/>
      <c r="S602" s="3"/>
      <c r="T602" s="3"/>
    </row>
    <row r="603" spans="1:20">
      <c r="A603" s="1"/>
      <c r="B603" s="1"/>
      <c r="C603" s="207" t="s">
        <v>1084</v>
      </c>
      <c r="D603" s="205">
        <f>SUM(D599:D602)</f>
        <v>557</v>
      </c>
      <c r="E603" s="1"/>
      <c r="F603" s="14"/>
      <c r="G603" s="206"/>
      <c r="H603" s="3"/>
      <c r="I603" s="4"/>
      <c r="J603" s="3"/>
      <c r="K603" s="14"/>
      <c r="L603" s="1"/>
      <c r="M603" s="3"/>
      <c r="N603" s="6"/>
      <c r="O603" s="3"/>
      <c r="P603" s="3"/>
      <c r="Q603" s="3"/>
      <c r="R603" s="3"/>
      <c r="S603" s="3"/>
      <c r="T603" s="3"/>
    </row>
    <row r="604" spans="1:20">
      <c r="A604" s="1"/>
      <c r="B604" s="1"/>
      <c r="C604" s="14"/>
      <c r="D604" s="14"/>
      <c r="E604" s="1"/>
      <c r="F604" s="14"/>
      <c r="G604" s="206"/>
      <c r="H604" s="3"/>
      <c r="I604" s="4"/>
      <c r="J604" s="3"/>
      <c r="K604" s="14"/>
      <c r="L604" s="1"/>
      <c r="M604" s="3"/>
      <c r="N604" s="6"/>
      <c r="O604" s="3"/>
      <c r="P604" s="3"/>
      <c r="Q604" s="3"/>
      <c r="R604" s="3"/>
      <c r="S604" s="3"/>
      <c r="T604" s="3"/>
    </row>
    <row r="605" spans="1:20">
      <c r="A605" s="1"/>
      <c r="B605" s="1"/>
      <c r="C605" s="207" t="s">
        <v>1085</v>
      </c>
      <c r="D605" s="205">
        <v>458</v>
      </c>
      <c r="E605" s="1"/>
      <c r="F605" s="14"/>
      <c r="G605" s="206"/>
      <c r="H605" s="3"/>
      <c r="I605" s="4"/>
      <c r="J605" s="3"/>
      <c r="K605" s="14"/>
      <c r="L605" s="1"/>
      <c r="M605" s="3"/>
      <c r="N605" s="6"/>
      <c r="O605" s="3"/>
      <c r="P605" s="3"/>
      <c r="Q605" s="3"/>
      <c r="R605" s="3"/>
      <c r="S605" s="3"/>
      <c r="T605" s="3"/>
    </row>
    <row r="606" spans="1:20">
      <c r="A606" s="1"/>
      <c r="B606" s="1"/>
      <c r="C606" s="1"/>
      <c r="D606" s="1"/>
      <c r="E606" s="1"/>
      <c r="F606" s="1"/>
      <c r="G606" s="1"/>
      <c r="H606" s="3"/>
      <c r="I606" s="4"/>
      <c r="J606" s="3"/>
      <c r="K606" s="1"/>
      <c r="L606" s="1"/>
      <c r="M606" s="3"/>
      <c r="N606" s="6"/>
      <c r="O606" s="3"/>
      <c r="P606" s="3"/>
      <c r="Q606" s="3"/>
      <c r="R606" s="3"/>
      <c r="S606" s="3"/>
      <c r="T606" s="3"/>
    </row>
    <row r="607" spans="1:20">
      <c r="A607" s="1"/>
      <c r="B607" s="1"/>
      <c r="C607" s="1"/>
      <c r="D607" s="1"/>
      <c r="E607" s="1"/>
      <c r="F607" s="1"/>
      <c r="G607" s="1"/>
      <c r="H607" s="3"/>
      <c r="I607" s="4"/>
      <c r="J607" s="3"/>
      <c r="K607" s="1"/>
      <c r="L607" s="1"/>
      <c r="M607" s="3"/>
      <c r="N607" s="6"/>
      <c r="O607" s="3"/>
      <c r="P607" s="3"/>
      <c r="Q607" s="3"/>
      <c r="R607" s="3"/>
      <c r="S607" s="3"/>
      <c r="T607" s="3"/>
    </row>
    <row r="608" spans="1:20">
      <c r="A608" s="1"/>
      <c r="B608" s="1"/>
      <c r="C608" s="14" t="s">
        <v>20</v>
      </c>
      <c r="D608" s="14"/>
      <c r="E608" s="1"/>
      <c r="F608" s="14"/>
      <c r="G608" s="17" t="s">
        <v>1086</v>
      </c>
      <c r="H608" s="1"/>
      <c r="I608" s="1"/>
      <c r="J608" s="3"/>
      <c r="K608" s="1"/>
      <c r="L608" s="1"/>
      <c r="M608" s="3"/>
      <c r="N608" s="6"/>
      <c r="O608" s="3"/>
      <c r="P608" s="3"/>
      <c r="Q608" s="3"/>
      <c r="R608" s="3"/>
      <c r="S608" s="3"/>
      <c r="T608" s="3"/>
    </row>
    <row r="609" spans="1:20">
      <c r="A609" s="1"/>
      <c r="B609" s="1"/>
      <c r="C609" s="25" t="s">
        <v>1087</v>
      </c>
      <c r="D609" s="208">
        <f>COUNTIF(P9:P591,1)</f>
        <v>19</v>
      </c>
      <c r="E609" s="1"/>
      <c r="F609" s="1"/>
      <c r="G609" s="142" t="s">
        <v>1088</v>
      </c>
      <c r="H609" s="208" t="s">
        <v>1089</v>
      </c>
      <c r="I609" s="209" t="s">
        <v>1090</v>
      </c>
      <c r="J609" s="210" t="s">
        <v>1091</v>
      </c>
      <c r="K609" s="1"/>
      <c r="L609" s="1"/>
      <c r="M609" s="3"/>
      <c r="N609" s="17"/>
      <c r="O609" s="17"/>
      <c r="P609" s="3"/>
      <c r="Q609" s="3"/>
      <c r="R609" s="3"/>
      <c r="S609" s="3"/>
      <c r="T609" s="3"/>
    </row>
    <row r="610" spans="1:20">
      <c r="A610" s="1"/>
      <c r="B610" s="1"/>
      <c r="C610" s="25" t="s">
        <v>1092</v>
      </c>
      <c r="D610" s="208">
        <f>COUNTIF(P9:P591,3)</f>
        <v>145</v>
      </c>
      <c r="E610" s="1"/>
      <c r="F610" s="1"/>
      <c r="G610" s="32"/>
      <c r="H610" s="29"/>
      <c r="I610" s="56"/>
      <c r="J610" s="29"/>
      <c r="K610" s="1"/>
      <c r="L610" s="1"/>
      <c r="M610" s="3"/>
      <c r="N610" s="6"/>
      <c r="O610" s="3"/>
      <c r="P610" s="3"/>
      <c r="Q610" s="3"/>
      <c r="R610" s="3"/>
      <c r="S610" s="4"/>
      <c r="T610" s="4"/>
    </row>
    <row r="611" spans="1:20">
      <c r="A611" s="1"/>
      <c r="B611" s="1"/>
      <c r="C611" s="25" t="s">
        <v>1093</v>
      </c>
      <c r="D611" s="208">
        <f>COUNTIF(P9:P591,5)</f>
        <v>233</v>
      </c>
      <c r="E611" s="1"/>
      <c r="F611" s="1"/>
      <c r="G611" s="55" t="s">
        <v>1094</v>
      </c>
      <c r="H611" s="31">
        <f>COUNTIF(R10:R591,2)</f>
        <v>114</v>
      </c>
      <c r="I611" s="59">
        <f>COUNTIF(R10:R591,1)</f>
        <v>172</v>
      </c>
      <c r="J611" s="31">
        <f t="shared" ref="J611:J618" si="46">H611+I611</f>
        <v>286</v>
      </c>
      <c r="K611" s="1"/>
      <c r="L611" s="1"/>
      <c r="M611" s="3"/>
      <c r="N611" s="3"/>
      <c r="O611" s="3"/>
      <c r="P611" s="3"/>
      <c r="Q611" s="280"/>
      <c r="R611" s="280"/>
      <c r="S611" s="280"/>
      <c r="T611" s="280"/>
    </row>
    <row r="612" spans="1:20">
      <c r="A612" s="1"/>
      <c r="B612" s="1"/>
      <c r="C612" s="25" t="s">
        <v>1095</v>
      </c>
      <c r="D612" s="208">
        <f>COUNTIF(P9:P591,4)</f>
        <v>161</v>
      </c>
      <c r="E612" s="1"/>
      <c r="F612" s="1"/>
      <c r="G612" s="55" t="s">
        <v>1096</v>
      </c>
      <c r="H612" s="31">
        <f>COUNTIF(R10:R591,5)</f>
        <v>43</v>
      </c>
      <c r="I612" s="59">
        <f>COUNTIF(R10:R591,26)</f>
        <v>17</v>
      </c>
      <c r="J612" s="31">
        <f t="shared" si="46"/>
        <v>60</v>
      </c>
      <c r="K612" s="1"/>
      <c r="L612" s="1"/>
      <c r="M612" s="3"/>
      <c r="N612" s="3"/>
      <c r="O612" s="3"/>
      <c r="P612" s="3"/>
      <c r="Q612" s="3"/>
      <c r="R612" s="13"/>
      <c r="S612" s="280"/>
      <c r="T612" s="280"/>
    </row>
    <row r="613" spans="1:20">
      <c r="A613" s="1"/>
      <c r="B613" s="1"/>
      <c r="C613" s="14" t="s">
        <v>1084</v>
      </c>
      <c r="D613" s="206">
        <f>SUM(D609:D612)</f>
        <v>558</v>
      </c>
      <c r="E613" s="1"/>
      <c r="F613" s="14"/>
      <c r="G613" s="55" t="s">
        <v>1097</v>
      </c>
      <c r="H613" s="31">
        <f>COUNTIF(R10:R591,18)</f>
        <v>35</v>
      </c>
      <c r="I613" s="59">
        <f>COUNTIF(R10:R591,22)</f>
        <v>7</v>
      </c>
      <c r="J613" s="31">
        <f t="shared" si="46"/>
        <v>42</v>
      </c>
      <c r="K613" s="1"/>
      <c r="L613" s="1"/>
      <c r="M613" s="3"/>
      <c r="N613" s="3"/>
      <c r="O613" s="3"/>
      <c r="P613" s="3"/>
      <c r="Q613" s="3"/>
      <c r="R613" s="13"/>
      <c r="S613" s="280"/>
      <c r="T613" s="280"/>
    </row>
    <row r="614" spans="1:20">
      <c r="A614" s="1"/>
      <c r="B614" s="1"/>
      <c r="C614" s="1"/>
      <c r="D614" s="1"/>
      <c r="E614" s="1"/>
      <c r="F614" s="1"/>
      <c r="G614" s="55" t="s">
        <v>1098</v>
      </c>
      <c r="H614" s="31">
        <f>COUNTIF(R10:R591,8)</f>
        <v>21</v>
      </c>
      <c r="I614" s="59">
        <f>COUNTIF(R10:R591,7)</f>
        <v>4</v>
      </c>
      <c r="J614" s="31">
        <f t="shared" si="46"/>
        <v>25</v>
      </c>
      <c r="K614" s="1"/>
      <c r="L614" s="1"/>
      <c r="M614" s="3"/>
      <c r="N614" s="3"/>
      <c r="O614" s="3"/>
      <c r="P614" s="3"/>
      <c r="Q614" s="3"/>
      <c r="R614" s="3"/>
      <c r="S614" s="280"/>
      <c r="T614" s="280"/>
    </row>
    <row r="615" spans="1:20">
      <c r="A615" s="1"/>
      <c r="B615" s="1"/>
      <c r="C615" s="1"/>
      <c r="D615" s="1"/>
      <c r="E615" s="1"/>
      <c r="F615" s="1"/>
      <c r="G615" s="55" t="s">
        <v>1099</v>
      </c>
      <c r="H615" s="31">
        <f>COUNTIF(R10:R591,23)</f>
        <v>15</v>
      </c>
      <c r="I615" s="59">
        <f>COUNTIF(R10:R591,17)</f>
        <v>7</v>
      </c>
      <c r="J615" s="31">
        <f t="shared" si="46"/>
        <v>22</v>
      </c>
      <c r="K615" s="1"/>
      <c r="L615" s="1"/>
      <c r="M615" s="3"/>
      <c r="N615" s="3"/>
      <c r="O615" s="3"/>
      <c r="P615" s="3"/>
      <c r="Q615" s="3"/>
      <c r="R615" s="3"/>
      <c r="S615" s="280"/>
      <c r="T615" s="280"/>
    </row>
    <row r="616" spans="1:20">
      <c r="A616" s="1"/>
      <c r="B616" s="1"/>
      <c r="C616" s="1"/>
      <c r="D616" s="1"/>
      <c r="E616" s="1"/>
      <c r="F616" s="1"/>
      <c r="G616" s="55" t="s">
        <v>1100</v>
      </c>
      <c r="H616" s="31">
        <f>COUNTIF(R10:R591,19)</f>
        <v>24</v>
      </c>
      <c r="I616" s="59">
        <f>COUNTIF(R10:R591,9)</f>
        <v>12</v>
      </c>
      <c r="J616" s="31">
        <f t="shared" si="46"/>
        <v>36</v>
      </c>
      <c r="K616" s="1"/>
      <c r="L616" s="1"/>
      <c r="M616" s="3"/>
      <c r="N616" s="3"/>
      <c r="O616" s="3"/>
      <c r="P616" s="3"/>
      <c r="Q616" s="3"/>
      <c r="R616" s="3"/>
      <c r="S616" s="280"/>
      <c r="T616" s="280"/>
    </row>
    <row r="617" spans="1:20">
      <c r="A617" s="1"/>
      <c r="B617" s="1"/>
      <c r="C617" s="207" t="s">
        <v>1101</v>
      </c>
      <c r="D617" s="205">
        <f>COUNTIF(M10:M592,0)</f>
        <v>1</v>
      </c>
      <c r="E617" s="1"/>
      <c r="F617" s="14"/>
      <c r="G617" s="55" t="s">
        <v>951</v>
      </c>
      <c r="H617" s="31">
        <f>COUNTIF(R10:R591,12)</f>
        <v>32</v>
      </c>
      <c r="I617" s="59">
        <f>COUNTIF(R10:R591,14)</f>
        <v>9</v>
      </c>
      <c r="J617" s="31">
        <f t="shared" si="46"/>
        <v>41</v>
      </c>
      <c r="K617" s="1"/>
      <c r="L617" s="1"/>
      <c r="M617" s="3"/>
      <c r="N617" s="3"/>
      <c r="O617" s="3"/>
      <c r="P617" s="3"/>
      <c r="Q617" s="3"/>
      <c r="R617" s="3"/>
      <c r="S617" s="280"/>
      <c r="T617" s="280"/>
    </row>
    <row r="618" spans="1:20">
      <c r="A618" s="1"/>
      <c r="B618" s="1"/>
      <c r="C618" s="207" t="s">
        <v>1102</v>
      </c>
      <c r="D618" s="205">
        <f>COUNTIF(M9:M592,91)</f>
        <v>24</v>
      </c>
      <c r="E618" s="1"/>
      <c r="F618" s="14"/>
      <c r="G618" s="55" t="s">
        <v>1103</v>
      </c>
      <c r="H618" s="31">
        <f>COUNTIF(R10:R591,10)</f>
        <v>36</v>
      </c>
      <c r="I618" s="59">
        <f>COUNTIF(R10:R591,34)</f>
        <v>9</v>
      </c>
      <c r="J618" s="31">
        <f t="shared" si="46"/>
        <v>45</v>
      </c>
      <c r="K618" s="1"/>
      <c r="L618" s="1"/>
      <c r="M618" s="3"/>
      <c r="N618" s="3"/>
      <c r="O618" s="3"/>
      <c r="P618" s="3"/>
      <c r="Q618" s="3"/>
      <c r="R618" s="3"/>
      <c r="S618" s="280"/>
      <c r="T618" s="280"/>
    </row>
    <row r="619" spans="1:20">
      <c r="A619" s="1"/>
      <c r="B619" s="1"/>
      <c r="C619" s="1"/>
      <c r="D619" s="1"/>
      <c r="E619" s="1"/>
      <c r="F619" s="1"/>
      <c r="G619" s="142" t="s">
        <v>1091</v>
      </c>
      <c r="H619" s="208">
        <f>SUM(H611:H618)</f>
        <v>320</v>
      </c>
      <c r="I619" s="209">
        <f>SUM(I611:I618)</f>
        <v>237</v>
      </c>
      <c r="J619" s="210">
        <f>SUM(J611:J618)</f>
        <v>557</v>
      </c>
      <c r="K619" s="1"/>
      <c r="L619" s="1"/>
      <c r="M619" s="3"/>
      <c r="N619" s="17"/>
      <c r="O619" s="17"/>
      <c r="P619" s="3"/>
      <c r="Q619" s="3"/>
      <c r="R619" s="3"/>
      <c r="S619" s="4"/>
      <c r="T619" s="3"/>
    </row>
    <row r="620" spans="1:20">
      <c r="A620" s="1"/>
      <c r="B620" s="1"/>
      <c r="C620" s="1"/>
      <c r="D620" s="1"/>
      <c r="E620" s="1"/>
      <c r="F620" s="1"/>
      <c r="G620" s="1"/>
      <c r="H620" s="3"/>
      <c r="I620" s="4"/>
      <c r="J620" s="17"/>
      <c r="K620" s="2"/>
      <c r="L620" s="2"/>
      <c r="M620" s="12"/>
      <c r="N620" s="18"/>
      <c r="O620" s="12"/>
      <c r="P620" s="12"/>
      <c r="Q620" s="3"/>
      <c r="R620" s="3"/>
      <c r="S620" s="4"/>
      <c r="T620" s="3"/>
    </row>
    <row r="621" spans="1:20">
      <c r="A621" s="1"/>
      <c r="B621" s="1"/>
      <c r="C621" s="207" t="s">
        <v>1104</v>
      </c>
      <c r="D621" s="205">
        <f>D603+D617+D618</f>
        <v>582</v>
      </c>
      <c r="E621" s="1"/>
      <c r="F621" s="1"/>
      <c r="G621" s="1"/>
      <c r="H621" s="3"/>
      <c r="I621" s="4"/>
      <c r="J621" s="17"/>
      <c r="K621" s="2"/>
      <c r="L621" s="2"/>
      <c r="M621" s="12"/>
      <c r="N621" s="18"/>
      <c r="O621" s="12"/>
      <c r="P621" s="12"/>
      <c r="Q621" s="3"/>
      <c r="R621" s="3"/>
      <c r="S621" s="4"/>
      <c r="T621" s="3"/>
    </row>
    <row r="622" spans="1:20">
      <c r="A622" s="1"/>
      <c r="B622" s="1"/>
      <c r="C622" s="1"/>
      <c r="D622" s="1"/>
      <c r="E622" s="1"/>
      <c r="F622" s="1"/>
      <c r="G622" s="1"/>
      <c r="H622" s="3"/>
      <c r="I622" s="4"/>
      <c r="J622" s="17"/>
      <c r="K622" s="2"/>
      <c r="L622" s="2"/>
      <c r="M622" s="12"/>
      <c r="N622" s="18"/>
      <c r="O622" s="12"/>
      <c r="P622" s="12"/>
      <c r="Q622" s="3"/>
      <c r="R622" s="3"/>
      <c r="S622" s="4"/>
      <c r="T622" s="3"/>
    </row>
    <row r="623" spans="1:20">
      <c r="A623" s="1"/>
      <c r="B623" s="1"/>
      <c r="C623" s="1"/>
      <c r="D623" s="1"/>
      <c r="E623" s="1"/>
      <c r="F623" s="1"/>
      <c r="G623" s="1"/>
      <c r="H623" s="3"/>
      <c r="I623" s="4"/>
      <c r="J623" s="3"/>
      <c r="K623" s="1"/>
      <c r="L623" s="1"/>
      <c r="M623" s="3"/>
      <c r="N623" s="6"/>
      <c r="O623" s="3"/>
      <c r="P623" s="3"/>
      <c r="Q623" s="3"/>
      <c r="R623" s="3"/>
      <c r="S623" s="3"/>
      <c r="T623" s="3"/>
    </row>
    <row r="624" spans="1:20">
      <c r="A624" s="1"/>
      <c r="B624" s="1"/>
      <c r="C624" s="1"/>
      <c r="D624" s="1"/>
      <c r="E624" s="1"/>
      <c r="F624" s="1"/>
      <c r="G624" s="1"/>
      <c r="H624" s="3"/>
      <c r="I624" s="4"/>
      <c r="J624" s="3"/>
      <c r="K624" s="1"/>
      <c r="L624" s="1"/>
      <c r="M624" s="3"/>
      <c r="N624" s="6"/>
      <c r="O624" s="3"/>
      <c r="P624" s="3"/>
      <c r="Q624" s="3"/>
      <c r="R624" s="3"/>
      <c r="S624" s="3"/>
      <c r="T624" s="3"/>
    </row>
    <row r="625" spans="1:20">
      <c r="A625" s="1"/>
      <c r="B625" s="1"/>
      <c r="C625" s="1"/>
      <c r="D625" s="1"/>
      <c r="E625" s="1"/>
      <c r="F625" s="1"/>
      <c r="G625" s="207" t="s">
        <v>1088</v>
      </c>
      <c r="H625" s="209" t="s">
        <v>1105</v>
      </c>
      <c r="I625" s="210" t="s">
        <v>1106</v>
      </c>
      <c r="J625" s="210" t="s">
        <v>1107</v>
      </c>
      <c r="K625" s="210" t="s">
        <v>1108</v>
      </c>
      <c r="L625" s="208" t="s">
        <v>1091</v>
      </c>
      <c r="M625" s="3"/>
      <c r="N625" s="6"/>
      <c r="O625" s="3"/>
      <c r="P625" s="3"/>
      <c r="Q625" s="3"/>
      <c r="R625" s="3"/>
      <c r="S625" s="3"/>
      <c r="T625" s="3"/>
    </row>
    <row r="626" spans="1:20">
      <c r="A626" s="1"/>
      <c r="B626" s="1"/>
      <c r="C626" s="1"/>
      <c r="D626" s="1"/>
      <c r="E626" s="1"/>
      <c r="F626" s="1"/>
      <c r="G626" s="25"/>
      <c r="H626" s="113"/>
      <c r="I626" s="29"/>
      <c r="J626" s="29"/>
      <c r="K626" s="31"/>
      <c r="L626" s="25"/>
      <c r="M626" s="3"/>
      <c r="N626" s="6"/>
      <c r="O626" s="3"/>
      <c r="P626" s="3"/>
      <c r="Q626" s="3"/>
      <c r="R626" s="3"/>
      <c r="S626" s="3"/>
      <c r="T626" s="3"/>
    </row>
    <row r="627" spans="1:20">
      <c r="A627" s="1"/>
      <c r="B627" s="1"/>
      <c r="C627" s="1"/>
      <c r="D627" s="1"/>
      <c r="E627" s="1"/>
      <c r="F627" s="1"/>
      <c r="G627" s="25" t="s">
        <v>1094</v>
      </c>
      <c r="H627" s="211">
        <f>COUNTIF(M10:M313,2)</f>
        <v>93</v>
      </c>
      <c r="I627" s="84">
        <f>COUNTIF(M10:M313,"2_N")</f>
        <v>136</v>
      </c>
      <c r="J627" s="84">
        <f>COUNTIF(M9:M313,1)</f>
        <v>46</v>
      </c>
      <c r="K627" s="84">
        <f>COUNTIF(M10:M312,3)</f>
        <v>11</v>
      </c>
      <c r="L627" s="84">
        <f t="shared" ref="L627:L634" si="47">SUM(H627:K627)</f>
        <v>286</v>
      </c>
      <c r="M627" s="3"/>
      <c r="N627" s="6"/>
      <c r="O627" s="3"/>
      <c r="P627" s="3"/>
      <c r="Q627" s="3"/>
      <c r="R627" s="3"/>
      <c r="S627" s="3"/>
      <c r="T627" s="3"/>
    </row>
    <row r="628" spans="1:20">
      <c r="A628" s="1"/>
      <c r="B628" s="1"/>
      <c r="C628" s="1"/>
      <c r="D628" s="1"/>
      <c r="E628" s="1"/>
      <c r="F628" s="1"/>
      <c r="G628" s="25" t="s">
        <v>1096</v>
      </c>
      <c r="H628" s="211">
        <f>COUNTIF(M314:M373,2)</f>
        <v>19</v>
      </c>
      <c r="I628" s="84">
        <f>COUNTIF(M314:M373,"2_N")</f>
        <v>36</v>
      </c>
      <c r="J628" s="84">
        <f>COUNTIF(M314:M373,1)</f>
        <v>4</v>
      </c>
      <c r="K628" s="84">
        <f>COUNTIF(M314:M373,3)</f>
        <v>1</v>
      </c>
      <c r="L628" s="84">
        <f t="shared" si="47"/>
        <v>60</v>
      </c>
      <c r="M628" s="3"/>
      <c r="N628" s="6"/>
      <c r="O628" s="3"/>
      <c r="P628" s="3"/>
      <c r="Q628" s="3"/>
      <c r="R628" s="3"/>
      <c r="S628" s="3"/>
      <c r="T628" s="3"/>
    </row>
    <row r="629" spans="1:20">
      <c r="A629" s="1"/>
      <c r="B629" s="1"/>
      <c r="C629" s="1"/>
      <c r="D629" s="1"/>
      <c r="E629" s="1"/>
      <c r="F629" s="1"/>
      <c r="G629" s="25" t="s">
        <v>1097</v>
      </c>
      <c r="H629" s="211">
        <f>COUNTIF(M446:M487,2)</f>
        <v>19</v>
      </c>
      <c r="I629" s="84">
        <f>COUNTIF(M446:M487,"2_N")</f>
        <v>15</v>
      </c>
      <c r="J629" s="84">
        <f>COUNTIF(M446:M487,1)</f>
        <v>8</v>
      </c>
      <c r="K629" s="84">
        <f>COUNTIF(M446:M487,3)</f>
        <v>0</v>
      </c>
      <c r="L629" s="84">
        <f t="shared" si="47"/>
        <v>42</v>
      </c>
      <c r="M629" s="3"/>
      <c r="N629" s="6"/>
      <c r="O629" s="3"/>
      <c r="P629" s="3"/>
      <c r="Q629" s="3"/>
      <c r="R629" s="3"/>
      <c r="S629" s="3"/>
      <c r="T629" s="3"/>
    </row>
    <row r="630" spans="1:20">
      <c r="A630" s="1"/>
      <c r="B630" s="1"/>
      <c r="C630" s="1"/>
      <c r="D630" s="1"/>
      <c r="E630" s="1"/>
      <c r="F630" s="1"/>
      <c r="G630" s="25" t="s">
        <v>1098</v>
      </c>
      <c r="H630" s="211">
        <f>COUNTIF(M421:M445,2)</f>
        <v>7</v>
      </c>
      <c r="I630" s="84">
        <f>COUNTIF(M421:M445,"2_N")</f>
        <v>16</v>
      </c>
      <c r="J630" s="84">
        <f>COUNTIF(M421:M445,1)</f>
        <v>1</v>
      </c>
      <c r="K630" s="84">
        <f>COUNTIF(M421:M444,3)</f>
        <v>1</v>
      </c>
      <c r="L630" s="84">
        <f t="shared" si="47"/>
        <v>25</v>
      </c>
      <c r="M630" s="3"/>
      <c r="N630" s="6"/>
      <c r="O630" s="3"/>
      <c r="P630" s="3"/>
      <c r="Q630" s="3"/>
      <c r="R630" s="3"/>
      <c r="S630" s="3"/>
      <c r="T630" s="3"/>
    </row>
    <row r="631" spans="1:20">
      <c r="A631" s="1"/>
      <c r="B631" s="1"/>
      <c r="C631" s="1"/>
      <c r="D631" s="1"/>
      <c r="E631" s="1"/>
      <c r="F631" s="1"/>
      <c r="G631" s="25" t="s">
        <v>1099</v>
      </c>
      <c r="H631" s="211">
        <f>COUNTIF(M488:M509,2)</f>
        <v>8</v>
      </c>
      <c r="I631" s="84">
        <f>COUNTIF(M488:M509,"2_N")</f>
        <v>13</v>
      </c>
      <c r="J631" s="84">
        <f>COUNTIF(M488:M509,1)</f>
        <v>1</v>
      </c>
      <c r="K631" s="84">
        <f>COUNTIF(M488:M509,3)</f>
        <v>0</v>
      </c>
      <c r="L631" s="84">
        <f t="shared" si="47"/>
        <v>22</v>
      </c>
      <c r="M631" s="3"/>
      <c r="N631" s="6"/>
      <c r="O631" s="3"/>
      <c r="P631" s="3"/>
      <c r="Q631" s="3"/>
      <c r="R631" s="3"/>
      <c r="S631" s="3"/>
      <c r="T631" s="3"/>
    </row>
    <row r="632" spans="1:20">
      <c r="A632" s="1"/>
      <c r="B632" s="1"/>
      <c r="C632" s="1"/>
      <c r="D632" s="1"/>
      <c r="E632" s="1"/>
      <c r="F632" s="1"/>
      <c r="G632" s="25" t="s">
        <v>1100</v>
      </c>
      <c r="H632" s="211">
        <f>COUNTIF(M551:M591,2)</f>
        <v>12</v>
      </c>
      <c r="I632" s="84">
        <f>COUNTIF(M551:M591,"2_N")</f>
        <v>21</v>
      </c>
      <c r="J632" s="84">
        <f>COUNTIF(M551:M591,1)</f>
        <v>2</v>
      </c>
      <c r="K632" s="84">
        <f>COUNTIF(M551:M591,3)</f>
        <v>1</v>
      </c>
      <c r="L632" s="84">
        <f t="shared" si="47"/>
        <v>36</v>
      </c>
      <c r="M632" s="3"/>
      <c r="N632" s="6"/>
      <c r="O632" s="3"/>
      <c r="P632" s="3"/>
      <c r="Q632" s="3"/>
      <c r="R632" s="3"/>
      <c r="S632" s="3"/>
      <c r="T632" s="3"/>
    </row>
    <row r="633" spans="1:20">
      <c r="A633" s="1"/>
      <c r="B633" s="1"/>
      <c r="C633" s="1"/>
      <c r="D633" s="1"/>
      <c r="E633" s="1"/>
      <c r="F633" s="1"/>
      <c r="G633" s="25" t="s">
        <v>951</v>
      </c>
      <c r="H633" s="211">
        <f>COUNTIF(M510:M550,2)</f>
        <v>9</v>
      </c>
      <c r="I633" s="84">
        <f>COUNTIF(M510:M550,"2_N")</f>
        <v>24</v>
      </c>
      <c r="J633" s="84">
        <f>COUNTIF(M510:M550,1)</f>
        <v>7</v>
      </c>
      <c r="K633" s="84">
        <f>COUNTIF(M510:M550,3)</f>
        <v>1</v>
      </c>
      <c r="L633" s="84">
        <f t="shared" si="47"/>
        <v>41</v>
      </c>
      <c r="M633" s="3"/>
      <c r="N633" s="6"/>
      <c r="O633" s="3"/>
      <c r="P633" s="3"/>
      <c r="Q633" s="3"/>
      <c r="R633" s="3"/>
      <c r="S633" s="3"/>
      <c r="T633" s="3"/>
    </row>
    <row r="634" spans="1:20">
      <c r="A634" s="1"/>
      <c r="B634" s="1"/>
      <c r="C634" s="1"/>
      <c r="D634" s="1"/>
      <c r="E634" s="1"/>
      <c r="F634" s="1"/>
      <c r="G634" s="25" t="s">
        <v>1103</v>
      </c>
      <c r="H634" s="211">
        <f>COUNTIF(M374:M420,2)</f>
        <v>13</v>
      </c>
      <c r="I634" s="84">
        <f>COUNTIF(M374:M420,"2_N")</f>
        <v>27</v>
      </c>
      <c r="J634" s="84">
        <f>COUNTIF(M374:M420,1)</f>
        <v>5</v>
      </c>
      <c r="K634" s="84">
        <f>COUNTIF(M374:M420,3)</f>
        <v>0</v>
      </c>
      <c r="L634" s="84">
        <f t="shared" si="47"/>
        <v>45</v>
      </c>
      <c r="M634" s="3"/>
      <c r="N634" s="6"/>
      <c r="O634" s="3"/>
      <c r="P634" s="3"/>
      <c r="Q634" s="3"/>
      <c r="R634" s="3"/>
      <c r="S634" s="3"/>
      <c r="T634" s="3"/>
    </row>
    <row r="635" spans="1:20">
      <c r="A635" s="1"/>
      <c r="B635" s="1"/>
      <c r="C635" s="1"/>
      <c r="D635" s="1"/>
      <c r="E635" s="1"/>
      <c r="F635" s="1"/>
      <c r="G635" s="25"/>
      <c r="H635" s="1"/>
      <c r="I635" s="3"/>
      <c r="J635" s="3"/>
      <c r="K635" s="4"/>
      <c r="L635" s="1"/>
      <c r="M635" s="3"/>
      <c r="N635" s="6"/>
      <c r="O635" s="3"/>
      <c r="P635" s="3"/>
      <c r="Q635" s="3"/>
      <c r="R635" s="3"/>
      <c r="S635" s="3"/>
      <c r="T635" s="3"/>
    </row>
    <row r="636" spans="1:20">
      <c r="A636" s="1"/>
      <c r="B636" s="1"/>
      <c r="C636" s="1"/>
      <c r="D636" s="1"/>
      <c r="E636" s="1"/>
      <c r="F636" s="1"/>
      <c r="G636" s="207" t="s">
        <v>1084</v>
      </c>
      <c r="H636" s="209">
        <f>SUM(H627:H635)</f>
        <v>180</v>
      </c>
      <c r="I636" s="208">
        <f>SUM(I627:I635)</f>
        <v>288</v>
      </c>
      <c r="J636" s="208">
        <f>SUM(J627:J635)</f>
        <v>74</v>
      </c>
      <c r="K636" s="208">
        <f>SUM(K627:K635)</f>
        <v>15</v>
      </c>
      <c r="L636" s="208">
        <f>SUM(H636:K636)</f>
        <v>557</v>
      </c>
      <c r="M636" s="3"/>
      <c r="N636" s="6"/>
      <c r="O636" s="3"/>
      <c r="P636" s="3"/>
      <c r="Q636" s="3"/>
      <c r="R636" s="3"/>
      <c r="S636" s="3"/>
      <c r="T636" s="3"/>
    </row>
    <row r="637" spans="1:20">
      <c r="A637" s="1"/>
      <c r="B637" s="1"/>
      <c r="C637" s="1"/>
      <c r="D637" s="1"/>
      <c r="E637" s="1"/>
      <c r="F637" s="1"/>
      <c r="G637" s="1"/>
      <c r="H637" s="3"/>
      <c r="I637" s="4"/>
      <c r="J637" s="3"/>
      <c r="K637" s="1"/>
      <c r="L637" s="1"/>
      <c r="M637" s="3"/>
      <c r="N637" s="6"/>
      <c r="O637" s="3"/>
      <c r="P637" s="3"/>
      <c r="Q637" s="3"/>
      <c r="R637" s="3"/>
      <c r="S637" s="3"/>
      <c r="T637" s="3"/>
    </row>
    <row r="638" spans="1:20">
      <c r="A638" s="1"/>
      <c r="B638" s="1"/>
      <c r="C638" s="1"/>
      <c r="D638" s="1"/>
      <c r="E638" s="1"/>
      <c r="F638" s="1"/>
      <c r="G638" s="1"/>
      <c r="H638" s="3"/>
      <c r="I638" s="4"/>
      <c r="J638" s="3"/>
      <c r="K638" s="1"/>
      <c r="L638" s="1"/>
      <c r="M638" s="3"/>
      <c r="N638" s="6"/>
      <c r="O638" s="3"/>
      <c r="P638" s="3"/>
      <c r="Q638" s="3"/>
      <c r="R638" s="3"/>
      <c r="S638" s="3"/>
      <c r="T638" s="3"/>
    </row>
    <row r="639" spans="1:20">
      <c r="A639" s="1"/>
      <c r="B639" s="1"/>
      <c r="C639" s="1"/>
      <c r="D639" s="1"/>
      <c r="E639" s="1"/>
      <c r="F639" s="1"/>
      <c r="G639" s="1"/>
      <c r="H639" s="3"/>
      <c r="I639" s="4"/>
      <c r="J639" s="3"/>
      <c r="K639" s="1"/>
      <c r="L639" s="1"/>
      <c r="M639" s="3"/>
      <c r="N639" s="6"/>
      <c r="O639" s="3"/>
      <c r="P639" s="3"/>
      <c r="Q639" s="3"/>
      <c r="R639" s="3"/>
      <c r="S639" s="3"/>
      <c r="T639" s="3"/>
    </row>
    <row r="640" spans="1:20">
      <c r="A640" s="1"/>
      <c r="B640" s="1"/>
      <c r="C640" s="1"/>
      <c r="D640" s="1"/>
      <c r="E640" s="1"/>
      <c r="F640" s="1"/>
      <c r="G640" s="1"/>
      <c r="H640" s="3"/>
      <c r="I640" s="4"/>
      <c r="J640" s="3"/>
      <c r="K640" s="1"/>
      <c r="L640" s="1"/>
      <c r="M640" s="3"/>
      <c r="N640" s="6"/>
      <c r="O640" s="3"/>
      <c r="P640" s="3"/>
      <c r="Q640" s="3"/>
      <c r="R640" s="3"/>
      <c r="S640" s="3"/>
      <c r="T640" s="3"/>
    </row>
    <row r="641" spans="1:20" ht="15" thickBot="1">
      <c r="A641" s="1"/>
      <c r="B641" s="1"/>
      <c r="C641" s="1"/>
      <c r="D641" s="13"/>
      <c r="E641" s="13"/>
      <c r="F641" s="13"/>
      <c r="G641" s="1"/>
      <c r="H641" s="3"/>
      <c r="I641" s="4"/>
      <c r="J641" s="3"/>
      <c r="K641" s="1"/>
      <c r="L641" s="1"/>
      <c r="M641" s="3"/>
      <c r="N641" s="6"/>
      <c r="O641" s="3"/>
      <c r="P641" s="3"/>
      <c r="Q641" s="3"/>
      <c r="R641" s="3"/>
      <c r="S641" s="3"/>
      <c r="T641" s="3"/>
    </row>
    <row r="642" spans="1:20" ht="15" thickBot="1">
      <c r="A642" s="1"/>
      <c r="B642" s="1"/>
      <c r="C642" s="1"/>
      <c r="D642" s="1"/>
      <c r="E642" s="14"/>
      <c r="F642" s="212" t="s">
        <v>1088</v>
      </c>
      <c r="G642" s="273" t="s">
        <v>1109</v>
      </c>
      <c r="H642" s="281"/>
      <c r="I642" s="282" t="s">
        <v>1110</v>
      </c>
      <c r="J642" s="283"/>
      <c r="K642" s="282" t="s">
        <v>1111</v>
      </c>
      <c r="L642" s="283"/>
      <c r="M642" s="282" t="s">
        <v>1112</v>
      </c>
      <c r="N642" s="283"/>
      <c r="O642" s="284" t="s">
        <v>1113</v>
      </c>
      <c r="P642" s="285"/>
      <c r="Q642" s="213" t="s">
        <v>1091</v>
      </c>
      <c r="R642" s="214"/>
      <c r="S642" s="3"/>
      <c r="T642" s="3"/>
    </row>
    <row r="643" spans="1:20" ht="15" thickBot="1">
      <c r="A643" s="1"/>
      <c r="B643" s="1"/>
      <c r="C643" s="1"/>
      <c r="D643" s="1"/>
      <c r="E643" s="1"/>
      <c r="F643" s="215"/>
      <c r="G643" s="216" t="s">
        <v>1114</v>
      </c>
      <c r="H643" s="217" t="s">
        <v>1115</v>
      </c>
      <c r="I643" s="218" t="s">
        <v>1114</v>
      </c>
      <c r="J643" s="219" t="s">
        <v>1115</v>
      </c>
      <c r="K643" s="220" t="s">
        <v>1114</v>
      </c>
      <c r="L643" s="221" t="s">
        <v>1115</v>
      </c>
      <c r="M643" s="220" t="s">
        <v>1114</v>
      </c>
      <c r="N643" s="12" t="s">
        <v>1115</v>
      </c>
      <c r="O643" s="222" t="s">
        <v>30</v>
      </c>
      <c r="P643" s="223" t="s">
        <v>35</v>
      </c>
      <c r="Q643" s="224"/>
      <c r="R643" s="225"/>
      <c r="S643" s="3"/>
      <c r="T643" s="3"/>
    </row>
    <row r="644" spans="1:20">
      <c r="A644" s="1"/>
      <c r="B644" s="1"/>
      <c r="C644" s="1"/>
      <c r="D644" s="1"/>
      <c r="E644" s="1"/>
      <c r="F644" s="226" t="s">
        <v>1094</v>
      </c>
      <c r="G644" s="227">
        <f>COUNTIFS(M1:M313,2,Q1:Q313,"M")</f>
        <v>71</v>
      </c>
      <c r="H644" s="228">
        <f>COUNTIFS(M1:M313,2,Q1:Q313,"F")</f>
        <v>22</v>
      </c>
      <c r="I644" s="229">
        <f>COUNTIFS(M1:M313,"2_N",Q1:Q313,"M")</f>
        <v>89</v>
      </c>
      <c r="J644" s="230">
        <f>COUNTIFS(M1:M313,"2_N",Q1:Q313,"F")</f>
        <v>47</v>
      </c>
      <c r="K644" s="228">
        <f>COUNTIFS(M1:M313,1,Q1:Q313,"M")</f>
        <v>25</v>
      </c>
      <c r="L644" s="231">
        <f>COUNTIFS(M1:M313,1,Q1:Q313,"F")</f>
        <v>21</v>
      </c>
      <c r="M644" s="231">
        <f>COUNTIFS(M1:M313,3,Q1:Q313,"M")</f>
        <v>7</v>
      </c>
      <c r="N644" s="230">
        <f>COUNTIFS(M1:M313,3,Q1:Q313,"F")</f>
        <v>4</v>
      </c>
      <c r="O644" s="232">
        <f t="shared" ref="O644:O651" si="48">G644+K644+M644+I644</f>
        <v>192</v>
      </c>
      <c r="P644" s="230">
        <f t="shared" ref="P644:P651" si="49">H644+J644+L644+N644</f>
        <v>94</v>
      </c>
      <c r="Q644" s="230">
        <f t="shared" ref="Q644:Q651" si="50">SUM(O644:P644)</f>
        <v>286</v>
      </c>
      <c r="R644" s="3"/>
      <c r="S644" s="3"/>
      <c r="T644" s="3"/>
    </row>
    <row r="645" spans="1:20">
      <c r="A645" s="1"/>
      <c r="B645" s="1"/>
      <c r="C645" s="1"/>
      <c r="D645" s="1"/>
      <c r="E645" s="1"/>
      <c r="F645" s="233" t="s">
        <v>1096</v>
      </c>
      <c r="G645" s="211">
        <f>COUNTIFS(M314:M373,2,Q314:Q373,"M")</f>
        <v>18</v>
      </c>
      <c r="H645" s="122">
        <f>COUNTIFS(M314:M373,2,Q314:Q373,"F")</f>
        <v>1</v>
      </c>
      <c r="I645" s="59">
        <f>COUNTIFS(M314:M373,"2_N",Q314:Q373,"M")</f>
        <v>30</v>
      </c>
      <c r="J645" s="234">
        <f>COUNTIFS(M314:M373,"2_N",Q314:Q373,"F")</f>
        <v>6</v>
      </c>
      <c r="K645" s="122">
        <f>COUNTIFS(M314:M373,1,Q314:Q373,"M")</f>
        <v>3</v>
      </c>
      <c r="L645" s="235">
        <f>COUNTIFS(M314:M373,1,Q314:Q373,"F")</f>
        <v>1</v>
      </c>
      <c r="M645" s="235">
        <f>COUNTIFS(M314:M373,3,Q314:Q373,"M")</f>
        <v>1</v>
      </c>
      <c r="N645" s="234">
        <f>COUNTIFS(M314:M373,3,Q314:Q373,"F")</f>
        <v>0</v>
      </c>
      <c r="O645" s="236">
        <f t="shared" si="48"/>
        <v>52</v>
      </c>
      <c r="P645" s="234">
        <f t="shared" si="49"/>
        <v>8</v>
      </c>
      <c r="Q645" s="234">
        <f t="shared" si="50"/>
        <v>60</v>
      </c>
      <c r="R645" s="3"/>
      <c r="S645" s="3"/>
      <c r="T645" s="3"/>
    </row>
    <row r="646" spans="1:20">
      <c r="A646" s="1"/>
      <c r="B646" s="1"/>
      <c r="C646" s="1"/>
      <c r="D646" s="1"/>
      <c r="E646" s="1"/>
      <c r="F646" s="233" t="s">
        <v>1097</v>
      </c>
      <c r="G646" s="211">
        <f>COUNTIFS(M446:M487,2,Q446:Q487,"M")</f>
        <v>15</v>
      </c>
      <c r="H646" s="122">
        <f>COUNTIFS(M446:M487,2,Q446:Q487,"F")</f>
        <v>4</v>
      </c>
      <c r="I646" s="59">
        <f>COUNTIFS(M446:M487,"2_N",Q446:Q487,"M")</f>
        <v>14</v>
      </c>
      <c r="J646" s="234">
        <f>COUNTIFS(M446:M487,"2_N",Q446:Q487,"F")</f>
        <v>1</v>
      </c>
      <c r="K646" s="122">
        <f>COUNTIFS(M446:M487,1,Q446:Q487,"M")</f>
        <v>8</v>
      </c>
      <c r="L646" s="235">
        <f>COUNTIFS(M446:M487,1,Q446:Q487,"F")</f>
        <v>0</v>
      </c>
      <c r="M646" s="235">
        <f>COUNTIFS(M446:M487,3,Q446:Q487,"M")</f>
        <v>0</v>
      </c>
      <c r="N646" s="234">
        <f>COUNTIFS(M446:M487,3,Q446:Q487,"F")</f>
        <v>0</v>
      </c>
      <c r="O646" s="236">
        <f t="shared" si="48"/>
        <v>37</v>
      </c>
      <c r="P646" s="234">
        <f t="shared" si="49"/>
        <v>5</v>
      </c>
      <c r="Q646" s="234">
        <f t="shared" si="50"/>
        <v>42</v>
      </c>
      <c r="R646" s="3"/>
      <c r="S646" s="3"/>
      <c r="T646" s="3"/>
    </row>
    <row r="647" spans="1:20">
      <c r="A647" s="1"/>
      <c r="B647" s="1"/>
      <c r="C647" s="1"/>
      <c r="D647" s="1"/>
      <c r="E647" s="1"/>
      <c r="F647" s="233" t="s">
        <v>1098</v>
      </c>
      <c r="G647" s="211">
        <f>COUNTIFS(M421:M445,2,Q421:Q445,"M")</f>
        <v>6</v>
      </c>
      <c r="H647" s="122">
        <f>COUNTIFS(M421:M445,2,Q421:Q445,"F")</f>
        <v>1</v>
      </c>
      <c r="I647" s="59">
        <f>COUNTIFS(M421:M445,"2_N",Q421:Q445,"M")</f>
        <v>15</v>
      </c>
      <c r="J647" s="234">
        <f>COUNTIFS(M421:M445,"2_N",Q421:Q445,"F")</f>
        <v>1</v>
      </c>
      <c r="K647" s="122">
        <f>COUNTIFS(M421:M445,1,Q421:Q445,"M")</f>
        <v>1</v>
      </c>
      <c r="L647" s="235">
        <f>COUNTIFS(M421:M445,1,Q421:Q445,"F")</f>
        <v>0</v>
      </c>
      <c r="M647" s="235">
        <f>COUNTIFS(M421:M445,3,Q421:Q445,"M")</f>
        <v>1</v>
      </c>
      <c r="N647" s="234">
        <f>COUNTIFS(M421:M445,3,Q421:Q445,"F")</f>
        <v>0</v>
      </c>
      <c r="O647" s="236">
        <f t="shared" si="48"/>
        <v>23</v>
      </c>
      <c r="P647" s="234">
        <f t="shared" si="49"/>
        <v>2</v>
      </c>
      <c r="Q647" s="234">
        <f t="shared" si="50"/>
        <v>25</v>
      </c>
      <c r="R647" s="3"/>
      <c r="S647" s="3"/>
      <c r="T647" s="3"/>
    </row>
    <row r="648" spans="1:20">
      <c r="A648" s="1"/>
      <c r="B648" s="1"/>
      <c r="C648" s="1"/>
      <c r="D648" s="1"/>
      <c r="E648" s="1"/>
      <c r="F648" s="233" t="s">
        <v>1099</v>
      </c>
      <c r="G648" s="211">
        <f>COUNTIFS(M488:M509,2,Q488:Q509,"M")</f>
        <v>7</v>
      </c>
      <c r="H648" s="122">
        <f>COUNTIFS(M488:M509,2,Q488:Q509,"F")</f>
        <v>1</v>
      </c>
      <c r="I648" s="59">
        <f>COUNTIFS(M488:M509,"2_N",Q488:Q509,"M")</f>
        <v>9</v>
      </c>
      <c r="J648" s="234">
        <f>COUNTIFS(M488:M509,"2_N",Q488:Q509,"F")</f>
        <v>4</v>
      </c>
      <c r="K648" s="122">
        <f>COUNTIFS(M488:M509,1,Q488:Q509,"M")</f>
        <v>1</v>
      </c>
      <c r="L648" s="235">
        <f>COUNTIFS(M488:M509,1,Q488:Q509,"F")</f>
        <v>0</v>
      </c>
      <c r="M648" s="235">
        <f>COUNTIFS(M488:M509,3,Q488:Q509,"M")</f>
        <v>0</v>
      </c>
      <c r="N648" s="234">
        <f>COUNTIFS(M488:M509,3,Q488:Q509,"F")</f>
        <v>0</v>
      </c>
      <c r="O648" s="236">
        <f t="shared" si="48"/>
        <v>17</v>
      </c>
      <c r="P648" s="234">
        <f t="shared" si="49"/>
        <v>5</v>
      </c>
      <c r="Q648" s="234">
        <f t="shared" si="50"/>
        <v>22</v>
      </c>
      <c r="R648" s="3"/>
      <c r="S648" s="3"/>
      <c r="T648" s="3"/>
    </row>
    <row r="649" spans="1:20">
      <c r="A649" s="1"/>
      <c r="B649" s="1"/>
      <c r="C649" s="1"/>
      <c r="D649" s="1"/>
      <c r="E649" s="1"/>
      <c r="F649" s="233" t="s">
        <v>1100</v>
      </c>
      <c r="G649" s="211">
        <f>COUNTIFS(M551:M592,2,Q551:Q592,"M")</f>
        <v>10</v>
      </c>
      <c r="H649" s="122">
        <f>COUNTIFS(M551:M592,2,Q551:Q592,"F")</f>
        <v>2</v>
      </c>
      <c r="I649" s="59">
        <f>COUNTIFS(M551:M592,"2_N",Q551:Q592,"M")</f>
        <v>17</v>
      </c>
      <c r="J649" s="234">
        <f>COUNTIFS(M551:M592,"2_N",Q551:Q592,"F")</f>
        <v>4</v>
      </c>
      <c r="K649" s="122">
        <f>COUNTIFS(M551:M592,1,Q551:Q592,"M")</f>
        <v>2</v>
      </c>
      <c r="L649" s="235">
        <f>COUNTIFS(M551:M592,1,Q551:Q592,"F")</f>
        <v>0</v>
      </c>
      <c r="M649" s="235">
        <f>COUNTIFS(M551:M592,3,Q551:Q592,"M")</f>
        <v>1</v>
      </c>
      <c r="N649" s="234">
        <f>COUNTIFS(M551:M592,3,Q551:Q592,"F")</f>
        <v>0</v>
      </c>
      <c r="O649" s="236">
        <f t="shared" si="48"/>
        <v>30</v>
      </c>
      <c r="P649" s="234">
        <f t="shared" si="49"/>
        <v>6</v>
      </c>
      <c r="Q649" s="234">
        <f t="shared" si="50"/>
        <v>36</v>
      </c>
      <c r="R649" s="3"/>
      <c r="S649" s="3"/>
      <c r="T649" s="3"/>
    </row>
    <row r="650" spans="1:20">
      <c r="A650" s="1"/>
      <c r="B650" s="1"/>
      <c r="C650" s="1"/>
      <c r="D650" s="1"/>
      <c r="E650" s="1"/>
      <c r="F650" s="233" t="s">
        <v>951</v>
      </c>
      <c r="G650" s="211">
        <f>COUNTIFS(M510:M550,2,Q510:Q550,"M")</f>
        <v>8</v>
      </c>
      <c r="H650" s="122">
        <f>COUNTIFS(M510:M550,2,Q510:Q550,"F")</f>
        <v>1</v>
      </c>
      <c r="I650" s="59">
        <f>COUNTIFS(M510:M550,"2_N",Q510:Q550,"M")</f>
        <v>20</v>
      </c>
      <c r="J650" s="234">
        <f>COUNTIFS(M510:M550,"2_N",Q510:Q550,"F")</f>
        <v>4</v>
      </c>
      <c r="K650" s="122">
        <f>COUNTIFS(M510:M550,1,Q510:Q550,"M")</f>
        <v>6</v>
      </c>
      <c r="L650" s="235">
        <f>COUNTIFS(M510:M550,1,Q510:Q550,"F")</f>
        <v>1</v>
      </c>
      <c r="M650" s="235">
        <f>COUNTIFS(M510:M550,3,Q510:Q550,"M")</f>
        <v>1</v>
      </c>
      <c r="N650" s="234">
        <f>COUNTIFS(M510:M550,3,Q510:Q550,"F")</f>
        <v>0</v>
      </c>
      <c r="O650" s="236">
        <f t="shared" si="48"/>
        <v>35</v>
      </c>
      <c r="P650" s="234">
        <f t="shared" si="49"/>
        <v>6</v>
      </c>
      <c r="Q650" s="234">
        <f t="shared" si="50"/>
        <v>41</v>
      </c>
      <c r="R650" s="3"/>
      <c r="S650" s="3"/>
      <c r="T650" s="3"/>
    </row>
    <row r="651" spans="1:20" ht="15" thickBot="1">
      <c r="A651" s="1"/>
      <c r="B651" s="1"/>
      <c r="C651" s="1"/>
      <c r="D651" s="1"/>
      <c r="E651" s="1"/>
      <c r="F651" s="237" t="s">
        <v>1103</v>
      </c>
      <c r="G651" s="238">
        <f>COUNTIFS(M374:M420,2,Q374:Q420,"M")</f>
        <v>13</v>
      </c>
      <c r="H651" s="239">
        <f>COUNTIFS(M374:M420,2,Q374:Q420,"F")</f>
        <v>0</v>
      </c>
      <c r="I651" s="240">
        <f>COUNTIFS(M374:M420,"2_N",Q374:Q420,"M")</f>
        <v>25</v>
      </c>
      <c r="J651" s="241">
        <f>COUNTIFS(M374:M420,"2_N",Q374:Q420,"F")</f>
        <v>2</v>
      </c>
      <c r="K651" s="239">
        <f>COUNTIFS(M374:M420,1,Q374:Q420,"M")</f>
        <v>3</v>
      </c>
      <c r="L651" s="242">
        <f>COUNTIFS(M374:M420,1,Q374:Q420,"F")</f>
        <v>2</v>
      </c>
      <c r="M651" s="242">
        <f>COUNTIFS(M374:M420,3,Q374:Q420,"M")</f>
        <v>0</v>
      </c>
      <c r="N651" s="241">
        <f>COUNTIFS(M374:M420,3,Q374:Q420,"F")</f>
        <v>0</v>
      </c>
      <c r="O651" s="243">
        <f t="shared" si="48"/>
        <v>41</v>
      </c>
      <c r="P651" s="241">
        <f t="shared" si="49"/>
        <v>4</v>
      </c>
      <c r="Q651" s="241">
        <f t="shared" si="50"/>
        <v>45</v>
      </c>
      <c r="R651" s="3"/>
      <c r="S651" s="3"/>
      <c r="T651" s="3"/>
    </row>
    <row r="652" spans="1:20">
      <c r="A652" s="1"/>
      <c r="B652" s="1"/>
      <c r="C652" s="1"/>
      <c r="D652" s="1"/>
      <c r="E652" s="1"/>
      <c r="F652" s="1"/>
      <c r="G652" s="1"/>
      <c r="H652" s="3"/>
      <c r="I652" s="4"/>
      <c r="J652" s="1"/>
      <c r="K652" s="17"/>
      <c r="L652" s="1"/>
      <c r="M652" s="3"/>
      <c r="N652" s="6"/>
      <c r="O652" s="3"/>
      <c r="P652" s="3"/>
      <c r="Q652" s="3"/>
      <c r="R652" s="3" t="s">
        <v>1116</v>
      </c>
      <c r="S652" s="3"/>
      <c r="T652" s="3"/>
    </row>
    <row r="653" spans="1:20">
      <c r="A653" s="1"/>
      <c r="B653" s="1"/>
      <c r="C653" s="1"/>
      <c r="D653" s="1"/>
      <c r="E653" s="14"/>
      <c r="F653" s="207" t="s">
        <v>1084</v>
      </c>
      <c r="G653" s="208">
        <f>SUM(G644:G652)</f>
        <v>148</v>
      </c>
      <c r="H653" s="208">
        <f t="shared" ref="H653:P653" si="51">SUM(H644:H652)</f>
        <v>32</v>
      </c>
      <c r="I653" s="208">
        <f t="shared" si="51"/>
        <v>219</v>
      </c>
      <c r="J653" s="208">
        <f t="shared" si="51"/>
        <v>69</v>
      </c>
      <c r="K653" s="208">
        <f t="shared" si="51"/>
        <v>49</v>
      </c>
      <c r="L653" s="208">
        <f t="shared" si="51"/>
        <v>25</v>
      </c>
      <c r="M653" s="244">
        <f t="shared" si="51"/>
        <v>11</v>
      </c>
      <c r="N653" s="244">
        <f>SUM(N644:N652)</f>
        <v>4</v>
      </c>
      <c r="O653" s="205">
        <f>SUM(O644:O652)</f>
        <v>427</v>
      </c>
      <c r="P653" s="244">
        <f t="shared" si="51"/>
        <v>130</v>
      </c>
      <c r="Q653" s="245">
        <f>SUM(Q644:Q652)</f>
        <v>557</v>
      </c>
      <c r="R653" s="246"/>
      <c r="S653" s="3"/>
      <c r="T653" s="3"/>
    </row>
    <row r="654" spans="1:20">
      <c r="A654" s="1"/>
      <c r="B654" s="1"/>
      <c r="C654" s="1"/>
      <c r="D654" s="1"/>
      <c r="E654" s="1"/>
      <c r="F654" s="1"/>
      <c r="G654" s="1"/>
      <c r="H654" s="3"/>
      <c r="I654" s="4"/>
      <c r="J654" s="3"/>
      <c r="K654" s="1"/>
      <c r="L654" s="1"/>
      <c r="M654" s="3"/>
      <c r="N654" s="6"/>
      <c r="O654" s="3"/>
      <c r="P654" s="3"/>
      <c r="Q654" s="3"/>
      <c r="R654" s="3"/>
      <c r="S654" s="3"/>
      <c r="T654" s="3"/>
    </row>
    <row r="655" spans="1:20">
      <c r="A655" s="1"/>
      <c r="B655" s="1"/>
      <c r="C655" s="1"/>
      <c r="D655" s="1"/>
      <c r="E655" s="14"/>
      <c r="F655" s="207" t="s">
        <v>1091</v>
      </c>
      <c r="G655" s="265">
        <f>G653+H653</f>
        <v>180</v>
      </c>
      <c r="H655" s="265"/>
      <c r="I655" s="265">
        <f>I653+J653</f>
        <v>288</v>
      </c>
      <c r="J655" s="266"/>
      <c r="K655" s="265">
        <f>K653+L653</f>
        <v>74</v>
      </c>
      <c r="L655" s="265"/>
      <c r="M655" s="269">
        <f>M653+N653</f>
        <v>15</v>
      </c>
      <c r="N655" s="270"/>
      <c r="O655" s="271">
        <f>O653+P653</f>
        <v>557</v>
      </c>
      <c r="P655" s="272"/>
      <c r="Q655" s="247"/>
      <c r="R655" s="3"/>
      <c r="S655" s="3"/>
      <c r="T655" s="3"/>
    </row>
    <row r="656" spans="1:20">
      <c r="A656" s="1"/>
      <c r="B656" s="1"/>
      <c r="C656" s="1"/>
      <c r="D656" s="1"/>
      <c r="E656" s="1"/>
      <c r="F656" s="1"/>
      <c r="G656" s="1"/>
      <c r="H656" s="3"/>
      <c r="I656" s="4"/>
      <c r="J656" s="3"/>
      <c r="K656" s="1"/>
      <c r="L656" s="1"/>
      <c r="M656" s="3"/>
      <c r="N656" s="6"/>
      <c r="O656" s="3"/>
      <c r="P656" s="3"/>
      <c r="Q656" s="3"/>
      <c r="R656" s="3"/>
      <c r="S656" s="3"/>
      <c r="T656" s="3"/>
    </row>
    <row r="657" spans="1:20">
      <c r="A657" s="1"/>
      <c r="B657" s="1"/>
      <c r="C657" s="1"/>
      <c r="D657" s="1"/>
      <c r="E657" s="1"/>
      <c r="F657" s="1"/>
      <c r="G657" s="1"/>
      <c r="H657" s="3"/>
      <c r="I657" s="4"/>
      <c r="J657" s="3"/>
      <c r="K657" s="1"/>
      <c r="L657" s="1"/>
      <c r="M657" s="3"/>
      <c r="N657" s="6"/>
      <c r="O657" s="3"/>
      <c r="P657" s="3"/>
      <c r="Q657" s="3"/>
      <c r="R657" s="3"/>
      <c r="S657" s="3"/>
      <c r="T657" s="3"/>
    </row>
    <row r="658" spans="1:20" ht="15" thickBot="1">
      <c r="A658" s="1"/>
      <c r="B658" s="1"/>
      <c r="C658" s="1"/>
      <c r="D658" s="13"/>
      <c r="E658" s="13"/>
      <c r="F658" s="13" t="s">
        <v>1086</v>
      </c>
      <c r="G658" s="1"/>
      <c r="H658" s="3"/>
      <c r="I658" s="4"/>
      <c r="J658" s="3"/>
      <c r="K658" s="1"/>
      <c r="L658" s="1"/>
      <c r="M658" s="3"/>
      <c r="N658" s="6"/>
      <c r="O658" s="3"/>
      <c r="P658" s="3"/>
      <c r="Q658" s="3"/>
      <c r="R658" s="3"/>
      <c r="S658" s="3"/>
      <c r="T658" s="3"/>
    </row>
    <row r="659" spans="1:20" ht="15" thickBot="1">
      <c r="A659" s="1"/>
      <c r="B659" s="1"/>
      <c r="C659" s="1"/>
      <c r="D659" s="14"/>
      <c r="E659" s="14"/>
      <c r="F659" s="248" t="s">
        <v>1088</v>
      </c>
      <c r="G659" s="273" t="s">
        <v>1089</v>
      </c>
      <c r="H659" s="274"/>
      <c r="I659" s="275" t="s">
        <v>1117</v>
      </c>
      <c r="J659" s="276"/>
      <c r="K659" s="275" t="s">
        <v>1113</v>
      </c>
      <c r="L659" s="276"/>
      <c r="M659" s="277" t="s">
        <v>1091</v>
      </c>
      <c r="N659" s="249"/>
      <c r="O659" s="214"/>
      <c r="P659" s="279"/>
      <c r="Q659" s="3"/>
      <c r="R659" s="3"/>
      <c r="S659" s="3"/>
      <c r="T659" s="3"/>
    </row>
    <row r="660" spans="1:20" ht="15" thickBot="1">
      <c r="A660" s="1"/>
      <c r="B660" s="1"/>
      <c r="C660" s="1"/>
      <c r="D660" s="1"/>
      <c r="E660" s="1"/>
      <c r="F660" s="250"/>
      <c r="G660" s="251" t="s">
        <v>1114</v>
      </c>
      <c r="H660" s="252" t="s">
        <v>1115</v>
      </c>
      <c r="I660" s="253" t="s">
        <v>1114</v>
      </c>
      <c r="J660" s="254" t="s">
        <v>1115</v>
      </c>
      <c r="K660" s="255" t="s">
        <v>1114</v>
      </c>
      <c r="L660" s="256" t="s">
        <v>1115</v>
      </c>
      <c r="M660" s="278"/>
      <c r="N660" s="249"/>
      <c r="O660" s="225"/>
      <c r="P660" s="279"/>
      <c r="Q660" s="3"/>
      <c r="R660" s="3"/>
      <c r="S660" s="3"/>
      <c r="T660" s="3"/>
    </row>
    <row r="661" spans="1:20">
      <c r="A661" s="1"/>
      <c r="B661" s="1"/>
      <c r="C661" s="1"/>
      <c r="D661" s="1"/>
      <c r="E661" s="1"/>
      <c r="F661" s="226" t="s">
        <v>1094</v>
      </c>
      <c r="G661" s="257">
        <f>COUNTIFS(R1:R313,2,Q1:Q313,"M")</f>
        <v>111</v>
      </c>
      <c r="H661" s="230">
        <f>COUNTIFS(R1:R313,2,Q1:Q313,"F")</f>
        <v>3</v>
      </c>
      <c r="I661" s="230">
        <f>COUNTIFS(R1:R313,1,Q1:Q313,"M")</f>
        <v>81</v>
      </c>
      <c r="J661" s="231">
        <f>COUNTIFS(R1:R313,1,Q1:Q313,"F")</f>
        <v>91</v>
      </c>
      <c r="K661" s="258">
        <f>G661+I661</f>
        <v>192</v>
      </c>
      <c r="L661" s="229">
        <f>H661+J661</f>
        <v>94</v>
      </c>
      <c r="M661" s="230">
        <f t="shared" ref="M661:M668" si="52">K661+L661</f>
        <v>286</v>
      </c>
      <c r="N661" s="6"/>
      <c r="O661" s="4"/>
      <c r="P661" s="4"/>
      <c r="Q661" s="3"/>
      <c r="R661" s="3"/>
      <c r="S661" s="3"/>
      <c r="T661" s="3"/>
    </row>
    <row r="662" spans="1:20">
      <c r="A662" s="1"/>
      <c r="B662" s="1"/>
      <c r="C662" s="1"/>
      <c r="D662" s="1"/>
      <c r="E662" s="1"/>
      <c r="F662" s="233" t="s">
        <v>1096</v>
      </c>
      <c r="G662" s="259">
        <f>COUNTIFS(R314:R373,5,Q314:Q373,"M")</f>
        <v>43</v>
      </c>
      <c r="H662" s="234">
        <f>COUNTIFS(R314:R373,5,Q314:Q373,"F")</f>
        <v>0</v>
      </c>
      <c r="I662" s="234">
        <f>COUNTIFS(R314:R373,26,Q314:Q373,"M")</f>
        <v>9</v>
      </c>
      <c r="J662" s="235">
        <f>COUNTIFS(R314:R373,26,Q314:Q373,"F")</f>
        <v>8</v>
      </c>
      <c r="K662" s="260">
        <f t="shared" ref="K662:L668" si="53">G662+I662</f>
        <v>52</v>
      </c>
      <c r="L662" s="59">
        <f t="shared" si="53"/>
        <v>8</v>
      </c>
      <c r="M662" s="234">
        <f t="shared" si="52"/>
        <v>60</v>
      </c>
      <c r="N662" s="6"/>
      <c r="O662" s="4"/>
      <c r="P662" s="4"/>
      <c r="Q662" s="3"/>
      <c r="R662" s="3"/>
      <c r="S662" s="3"/>
      <c r="T662" s="3"/>
    </row>
    <row r="663" spans="1:20">
      <c r="A663" s="1"/>
      <c r="B663" s="1"/>
      <c r="C663" s="1"/>
      <c r="D663" s="1"/>
      <c r="E663" s="1"/>
      <c r="F663" s="233" t="s">
        <v>1097</v>
      </c>
      <c r="G663" s="259">
        <f>COUNTIFS(R446:R487,18,Q446:Q487,"M")</f>
        <v>33</v>
      </c>
      <c r="H663" s="234">
        <f>COUNTIFS(R446:R487,18,Q446:Q487,"F")</f>
        <v>2</v>
      </c>
      <c r="I663" s="234">
        <f>COUNTIFS(R446:R487,22,Q446:Q487,"M")</f>
        <v>4</v>
      </c>
      <c r="J663" s="235">
        <f>COUNTIFS(R446:R487,22,Q446:Q487,"F")</f>
        <v>3</v>
      </c>
      <c r="K663" s="260">
        <f t="shared" si="53"/>
        <v>37</v>
      </c>
      <c r="L663" s="59">
        <f t="shared" si="53"/>
        <v>5</v>
      </c>
      <c r="M663" s="234">
        <f t="shared" si="52"/>
        <v>42</v>
      </c>
      <c r="N663" s="6"/>
      <c r="O663" s="4"/>
      <c r="P663" s="4"/>
      <c r="Q663" s="3"/>
      <c r="R663" s="3"/>
      <c r="S663" s="3"/>
      <c r="T663" s="3"/>
    </row>
    <row r="664" spans="1:20">
      <c r="A664" s="1"/>
      <c r="B664" s="1"/>
      <c r="C664" s="1"/>
      <c r="D664" s="1"/>
      <c r="E664" s="1"/>
      <c r="F664" s="233" t="s">
        <v>1098</v>
      </c>
      <c r="G664" s="259">
        <f>COUNTIFS(R421:R445,8,Q421:Q445,"M")</f>
        <v>21</v>
      </c>
      <c r="H664" s="234">
        <f>COUNTIFS(R421:R445,8,Q421:Q445,"F")</f>
        <v>0</v>
      </c>
      <c r="I664" s="234">
        <f>COUNTIFS(R421:R445,7,Q421:Q445,"M")</f>
        <v>2</v>
      </c>
      <c r="J664" s="235">
        <f>COUNTIFS(R421:R445,7,Q421:Q445,"F")</f>
        <v>2</v>
      </c>
      <c r="K664" s="260">
        <f t="shared" si="53"/>
        <v>23</v>
      </c>
      <c r="L664" s="59">
        <f t="shared" si="53"/>
        <v>2</v>
      </c>
      <c r="M664" s="234">
        <f t="shared" si="52"/>
        <v>25</v>
      </c>
      <c r="N664" s="6"/>
      <c r="O664" s="4"/>
      <c r="P664" s="4"/>
      <c r="Q664" s="3"/>
      <c r="R664" s="3"/>
      <c r="S664" s="3"/>
      <c r="T664" s="3"/>
    </row>
    <row r="665" spans="1:20">
      <c r="A665" s="1"/>
      <c r="B665" s="1"/>
      <c r="C665" s="1"/>
      <c r="D665" s="1"/>
      <c r="E665" s="1"/>
      <c r="F665" s="233" t="s">
        <v>1099</v>
      </c>
      <c r="G665" s="259">
        <f>COUNTIFS(R488:R509,23,Q488:Q509,"M")</f>
        <v>15</v>
      </c>
      <c r="H665" s="234">
        <f>COUNTIFS(R488:R509,23,Q488:Q509,"F")</f>
        <v>0</v>
      </c>
      <c r="I665" s="234">
        <f>COUNTIFS(R488:R509,17,Q488:Q509,"M")</f>
        <v>2</v>
      </c>
      <c r="J665" s="235">
        <f>COUNTIFS(R488:R509,17,Q488:Q509,"F")</f>
        <v>5</v>
      </c>
      <c r="K665" s="260">
        <f t="shared" si="53"/>
        <v>17</v>
      </c>
      <c r="L665" s="59">
        <f t="shared" si="53"/>
        <v>5</v>
      </c>
      <c r="M665" s="234">
        <f t="shared" si="52"/>
        <v>22</v>
      </c>
      <c r="N665" s="6"/>
      <c r="O665" s="4"/>
      <c r="P665" s="4"/>
      <c r="Q665" s="3"/>
      <c r="R665" s="3"/>
      <c r="S665" s="3"/>
      <c r="T665" s="3"/>
    </row>
    <row r="666" spans="1:20">
      <c r="A666" s="1"/>
      <c r="B666" s="1"/>
      <c r="C666" s="1"/>
      <c r="D666" s="1"/>
      <c r="E666" s="1"/>
      <c r="F666" s="233" t="s">
        <v>1100</v>
      </c>
      <c r="G666" s="259">
        <f>COUNTIFS(R551:R592,19,Q551:Q592,"M")</f>
        <v>24</v>
      </c>
      <c r="H666" s="234">
        <f>COUNTIFS(R551:R592,19,Q551:Q592,"F")</f>
        <v>0</v>
      </c>
      <c r="I666" s="234">
        <f>COUNTIFS(R551:R592,9,Q551:Q592,"M")</f>
        <v>6</v>
      </c>
      <c r="J666" s="235">
        <f>COUNTIFS(R551:R592,9,Q551:Q592,"F")</f>
        <v>6</v>
      </c>
      <c r="K666" s="260">
        <f t="shared" si="53"/>
        <v>30</v>
      </c>
      <c r="L666" s="59">
        <f t="shared" si="53"/>
        <v>6</v>
      </c>
      <c r="M666" s="234">
        <f t="shared" si="52"/>
        <v>36</v>
      </c>
      <c r="N666" s="6"/>
      <c r="O666" s="4"/>
      <c r="P666" s="4"/>
      <c r="Q666" s="3"/>
      <c r="R666" s="3"/>
      <c r="S666" s="3"/>
      <c r="T666" s="3"/>
    </row>
    <row r="667" spans="1:20">
      <c r="A667" s="1"/>
      <c r="B667" s="1"/>
      <c r="C667" s="1"/>
      <c r="D667" s="1"/>
      <c r="E667" s="1"/>
      <c r="F667" s="233" t="s">
        <v>951</v>
      </c>
      <c r="G667" s="259">
        <f>COUNTIFS(R510:R550,12,Q510:Q550,"M")</f>
        <v>32</v>
      </c>
      <c r="H667" s="234">
        <f>COUNTIFS(R510:R550,12,Q510:Q550,"F")</f>
        <v>0</v>
      </c>
      <c r="I667" s="234">
        <f>COUNTIFS(R510:R550,14,Q510:Q550,"M")</f>
        <v>3</v>
      </c>
      <c r="J667" s="235">
        <f>COUNTIFS(R510:R550,14,Q510:Q550,"F")</f>
        <v>6</v>
      </c>
      <c r="K667" s="260">
        <f t="shared" si="53"/>
        <v>35</v>
      </c>
      <c r="L667" s="59">
        <f t="shared" si="53"/>
        <v>6</v>
      </c>
      <c r="M667" s="234">
        <f t="shared" si="52"/>
        <v>41</v>
      </c>
      <c r="N667" s="6"/>
      <c r="O667" s="4"/>
      <c r="P667" s="4"/>
      <c r="Q667" s="3"/>
      <c r="R667" s="3"/>
      <c r="S667" s="3"/>
      <c r="T667" s="3"/>
    </row>
    <row r="668" spans="1:20" ht="15" thickBot="1">
      <c r="A668" s="1"/>
      <c r="B668" s="1"/>
      <c r="C668" s="1"/>
      <c r="D668" s="1"/>
      <c r="E668" s="1"/>
      <c r="F668" s="237" t="s">
        <v>1103</v>
      </c>
      <c r="G668" s="261">
        <f>COUNTIFS(R374:R420,10,Q374:Q420,"M")</f>
        <v>35</v>
      </c>
      <c r="H668" s="241">
        <f>COUNTIFS(R374:R420,10,Q374:Q420,"F")</f>
        <v>1</v>
      </c>
      <c r="I668" s="241">
        <f>COUNTIFS(R374:R420,34,Q374:Q420,"M")</f>
        <v>6</v>
      </c>
      <c r="J668" s="242">
        <f>COUNTIFS(R374:R420,34,Q374:Q420,"F")</f>
        <v>3</v>
      </c>
      <c r="K668" s="262">
        <f t="shared" si="53"/>
        <v>41</v>
      </c>
      <c r="L668" s="240">
        <f t="shared" si="53"/>
        <v>4</v>
      </c>
      <c r="M668" s="241">
        <f t="shared" si="52"/>
        <v>45</v>
      </c>
      <c r="N668" s="6"/>
      <c r="O668" s="4"/>
      <c r="P668" s="4"/>
      <c r="Q668" s="3"/>
      <c r="R668" s="3"/>
      <c r="S668" s="3"/>
      <c r="T668" s="3"/>
    </row>
    <row r="669" spans="1:20">
      <c r="A669" s="1"/>
      <c r="B669" s="1"/>
      <c r="C669" s="1"/>
      <c r="D669" s="1"/>
      <c r="E669" s="1"/>
      <c r="F669" s="1"/>
      <c r="G669" s="1"/>
      <c r="H669" s="3"/>
      <c r="I669" s="4"/>
      <c r="J669" s="1"/>
      <c r="K669" s="17"/>
      <c r="L669" s="1"/>
      <c r="M669" s="3"/>
      <c r="N669" s="6"/>
      <c r="O669" s="3"/>
      <c r="P669" s="3"/>
      <c r="Q669" s="3"/>
      <c r="R669" s="3"/>
      <c r="S669" s="3"/>
      <c r="T669" s="3"/>
    </row>
    <row r="670" spans="1:20">
      <c r="A670" s="1"/>
      <c r="B670" s="1"/>
      <c r="C670" s="1"/>
      <c r="D670" s="14"/>
      <c r="E670" s="14"/>
      <c r="F670" s="207" t="s">
        <v>1084</v>
      </c>
      <c r="G670" s="208">
        <f>SUM(G661:G669)</f>
        <v>314</v>
      </c>
      <c r="H670" s="208">
        <f t="shared" ref="H670:M670" si="54">SUM(H661:H669)</f>
        <v>6</v>
      </c>
      <c r="I670" s="208">
        <f t="shared" si="54"/>
        <v>113</v>
      </c>
      <c r="J670" s="208">
        <f t="shared" si="54"/>
        <v>124</v>
      </c>
      <c r="K670" s="208">
        <f t="shared" si="54"/>
        <v>427</v>
      </c>
      <c r="L670" s="208">
        <f t="shared" si="54"/>
        <v>130</v>
      </c>
      <c r="M670" s="244">
        <f t="shared" si="54"/>
        <v>557</v>
      </c>
      <c r="N670" s="263"/>
      <c r="O670" s="264"/>
      <c r="P670" s="264"/>
      <c r="Q670" s="3"/>
      <c r="R670" s="3"/>
      <c r="S670" s="3"/>
      <c r="T670" s="3"/>
    </row>
    <row r="671" spans="1:20">
      <c r="A671" s="1"/>
      <c r="B671" s="1"/>
      <c r="C671" s="1"/>
      <c r="D671" s="1"/>
      <c r="E671" s="1"/>
      <c r="F671" s="1"/>
      <c r="G671" s="1"/>
      <c r="H671" s="3"/>
      <c r="I671" s="4"/>
      <c r="J671" s="3"/>
      <c r="K671" s="1"/>
      <c r="L671" s="1"/>
      <c r="M671" s="3"/>
      <c r="N671" s="6"/>
      <c r="O671" s="3"/>
      <c r="P671" s="3"/>
      <c r="Q671" s="3"/>
      <c r="R671" s="3"/>
      <c r="S671" s="3"/>
      <c r="T671" s="3"/>
    </row>
    <row r="672" spans="1:20">
      <c r="A672" s="1"/>
      <c r="B672" s="1"/>
      <c r="C672" s="1"/>
      <c r="D672" s="14"/>
      <c r="E672" s="14"/>
      <c r="F672" s="207" t="s">
        <v>1091</v>
      </c>
      <c r="G672" s="265"/>
      <c r="H672" s="265"/>
      <c r="I672" s="265">
        <f>I670+J670</f>
        <v>237</v>
      </c>
      <c r="J672" s="266"/>
      <c r="K672" s="265">
        <f>K670+L670</f>
        <v>557</v>
      </c>
      <c r="L672" s="265"/>
      <c r="M672" s="267"/>
      <c r="N672" s="267"/>
      <c r="O672" s="268"/>
      <c r="P672" s="268"/>
      <c r="Q672" s="3"/>
      <c r="R672" s="3"/>
      <c r="S672" s="3"/>
      <c r="T672" s="3"/>
    </row>
    <row r="673" spans="1:20">
      <c r="A673" s="1"/>
      <c r="B673" s="1"/>
      <c r="C673" s="1"/>
      <c r="D673" s="1"/>
      <c r="E673" s="1"/>
      <c r="F673" s="1"/>
      <c r="G673" s="1"/>
      <c r="H673" s="3"/>
      <c r="I673" s="4"/>
      <c r="J673" s="3"/>
      <c r="K673" s="1"/>
      <c r="L673" s="1"/>
      <c r="M673" s="3"/>
      <c r="N673" s="6"/>
      <c r="O673" s="3"/>
      <c r="P673" s="3"/>
      <c r="Q673" s="3"/>
      <c r="R673" s="3"/>
      <c r="S673" s="3"/>
      <c r="T673" s="3"/>
    </row>
    <row r="674" spans="1:20">
      <c r="A674" s="1"/>
      <c r="B674" s="1"/>
      <c r="C674" s="1"/>
      <c r="D674" s="1"/>
      <c r="E674" s="1"/>
      <c r="F674" s="1"/>
      <c r="G674" s="1"/>
      <c r="H674" s="3"/>
      <c r="I674" s="4"/>
      <c r="J674" s="3"/>
      <c r="K674" s="1"/>
      <c r="L674" s="1"/>
      <c r="M674" s="3"/>
      <c r="N674" s="6"/>
      <c r="O674" s="3"/>
      <c r="P674" s="3"/>
      <c r="Q674" s="3"/>
      <c r="R674" s="3"/>
      <c r="S674" s="3"/>
      <c r="T674" s="3"/>
    </row>
    <row r="675" spans="1:20">
      <c r="A675" s="1"/>
      <c r="B675" s="1"/>
      <c r="C675" s="1"/>
      <c r="D675" s="14"/>
      <c r="E675" s="14"/>
      <c r="F675" s="208" t="s">
        <v>1118</v>
      </c>
      <c r="G675" s="207" t="s">
        <v>1119</v>
      </c>
      <c r="H675" s="142" t="s">
        <v>1120</v>
      </c>
      <c r="I675" s="210" t="s">
        <v>1113</v>
      </c>
      <c r="J675" s="17"/>
      <c r="K675" s="1"/>
      <c r="L675" s="1"/>
      <c r="M675" s="3"/>
      <c r="N675" s="6"/>
      <c r="O675" s="3"/>
      <c r="P675" s="3"/>
      <c r="Q675" s="3"/>
      <c r="R675" s="3"/>
      <c r="S675" s="3"/>
      <c r="T675" s="3"/>
    </row>
    <row r="676" spans="1:20">
      <c r="A676" s="1"/>
      <c r="B676" s="1"/>
      <c r="C676" s="1"/>
      <c r="D676" s="1"/>
      <c r="E676" s="1"/>
      <c r="F676" s="25" t="s">
        <v>1121</v>
      </c>
      <c r="G676" s="25">
        <f>COUNTIFS(Q10:Q591,"M",T10:T591,1)</f>
        <v>3</v>
      </c>
      <c r="H676" s="25">
        <f>COUNTIFS(Q10:Q591,"F",T10:T591,1)</f>
        <v>1</v>
      </c>
      <c r="I676" s="84">
        <f t="shared" ref="I676:I682" si="55">G676+H676</f>
        <v>4</v>
      </c>
      <c r="J676" s="3"/>
      <c r="K676" s="1"/>
      <c r="L676" s="1"/>
      <c r="M676" s="3"/>
      <c r="N676" s="6"/>
      <c r="O676" s="3"/>
      <c r="P676" s="3"/>
      <c r="Q676" s="3"/>
      <c r="R676" s="3"/>
      <c r="S676" s="3"/>
      <c r="T676" s="3"/>
    </row>
    <row r="677" spans="1:20">
      <c r="A677" s="1"/>
      <c r="B677" s="1"/>
      <c r="C677" s="1"/>
      <c r="D677" s="1"/>
      <c r="E677" s="1"/>
      <c r="F677" s="25" t="s">
        <v>1122</v>
      </c>
      <c r="G677" s="25">
        <f>COUNTIFS(Q10:Q591,"M",T10:T591,2)</f>
        <v>1</v>
      </c>
      <c r="H677" s="25">
        <f>COUNTIFS(Q10:Q591,"F",T10:T591,2)</f>
        <v>1</v>
      </c>
      <c r="I677" s="84">
        <f t="shared" si="55"/>
        <v>2</v>
      </c>
      <c r="J677" s="3"/>
      <c r="K677" s="1"/>
      <c r="L677" s="1"/>
      <c r="M677" s="3"/>
      <c r="N677" s="6"/>
      <c r="O677" s="3"/>
      <c r="P677" s="3"/>
      <c r="Q677" s="3"/>
      <c r="R677" s="3"/>
      <c r="S677" s="3"/>
      <c r="T677" s="3"/>
    </row>
    <row r="678" spans="1:20">
      <c r="A678" s="1"/>
      <c r="B678" s="1"/>
      <c r="C678" s="1"/>
      <c r="D678" s="1"/>
      <c r="E678" s="1"/>
      <c r="F678" s="25" t="s">
        <v>1123</v>
      </c>
      <c r="G678" s="25">
        <f>COUNTIFS(Q10:Q591,"M",T10:T591,3)</f>
        <v>6</v>
      </c>
      <c r="H678" s="25">
        <f>COUNTIFS(Q10:Q591,"F",T10:T591,3)</f>
        <v>3</v>
      </c>
      <c r="I678" s="84">
        <f t="shared" si="55"/>
        <v>9</v>
      </c>
      <c r="J678" s="3"/>
      <c r="K678" s="1"/>
      <c r="L678" s="1"/>
      <c r="M678" s="3"/>
      <c r="N678" s="6"/>
      <c r="O678" s="3"/>
      <c r="P678" s="3"/>
      <c r="Q678" s="3"/>
      <c r="R678" s="3"/>
      <c r="S678" s="3"/>
      <c r="T678" s="3"/>
    </row>
    <row r="679" spans="1:20">
      <c r="A679" s="1"/>
      <c r="B679" s="1"/>
      <c r="C679" s="1"/>
      <c r="D679" s="1"/>
      <c r="E679" s="1"/>
      <c r="F679" s="25" t="s">
        <v>1124</v>
      </c>
      <c r="G679" s="25">
        <f>COUNTIFS(Q10:Q591,"M",T10:T591,4)</f>
        <v>41</v>
      </c>
      <c r="H679" s="25">
        <f>COUNTIFS(Q10:Q591,"F",T10:T591,4)</f>
        <v>23</v>
      </c>
      <c r="I679" s="84">
        <f t="shared" si="55"/>
        <v>64</v>
      </c>
      <c r="J679" s="3"/>
      <c r="K679" s="1"/>
      <c r="L679" s="1"/>
      <c r="M679" s="3"/>
      <c r="N679" s="6"/>
      <c r="O679" s="3"/>
      <c r="P679" s="3"/>
      <c r="Q679" s="3"/>
      <c r="R679" s="3"/>
      <c r="S679" s="3"/>
      <c r="T679" s="3"/>
    </row>
    <row r="680" spans="1:20">
      <c r="A680" s="1"/>
      <c r="B680" s="1"/>
      <c r="C680" s="1"/>
      <c r="D680" s="1"/>
      <c r="E680" s="1"/>
      <c r="F680" s="25" t="s">
        <v>1125</v>
      </c>
      <c r="G680" s="25">
        <f>COUNTIFS(Q10:Q591,"M",T10:T591,5)</f>
        <v>252</v>
      </c>
      <c r="H680" s="25">
        <f>COUNTIFS(Q10:Q591,"F",T10:T591,5)</f>
        <v>4</v>
      </c>
      <c r="I680" s="84">
        <f t="shared" si="55"/>
        <v>256</v>
      </c>
      <c r="J680" s="3"/>
      <c r="K680" s="1"/>
      <c r="L680" s="1"/>
      <c r="M680" s="3"/>
      <c r="N680" s="6"/>
      <c r="O680" s="3"/>
      <c r="P680" s="3"/>
      <c r="Q680" s="3"/>
      <c r="R680" s="3"/>
      <c r="S680" s="3"/>
      <c r="T680" s="3"/>
    </row>
    <row r="681" spans="1:20">
      <c r="A681" s="1"/>
      <c r="B681" s="1"/>
      <c r="C681" s="1"/>
      <c r="D681" s="1"/>
      <c r="E681" s="1"/>
      <c r="F681" s="25" t="s">
        <v>1126</v>
      </c>
      <c r="G681" s="25">
        <f>COUNTIFS(Q10:Q591,"M",T10:T591,6)</f>
        <v>71</v>
      </c>
      <c r="H681" s="25">
        <f>COUNTIFS(Q10:Q591,"F",T10:T591,6)</f>
        <v>89</v>
      </c>
      <c r="I681" s="84">
        <f t="shared" si="55"/>
        <v>160</v>
      </c>
      <c r="J681" s="3"/>
      <c r="K681" s="1"/>
      <c r="L681" s="1"/>
      <c r="M681" s="3"/>
      <c r="N681" s="6"/>
      <c r="O681" s="3"/>
      <c r="P681" s="3"/>
      <c r="Q681" s="3"/>
      <c r="R681" s="3"/>
      <c r="S681" s="3"/>
      <c r="T681" s="3"/>
    </row>
    <row r="682" spans="1:20">
      <c r="A682" s="1"/>
      <c r="B682" s="1"/>
      <c r="C682" s="1"/>
      <c r="D682" s="1"/>
      <c r="E682" s="1"/>
      <c r="F682" s="25" t="s">
        <v>1127</v>
      </c>
      <c r="G682" s="25">
        <f>COUNTIFS(Q10:Q591,"M",T10:T591,7)</f>
        <v>53</v>
      </c>
      <c r="H682" s="25">
        <f>COUNTIFS(Q10:Q591,"F",T10:T591,7)</f>
        <v>9</v>
      </c>
      <c r="I682" s="84">
        <f t="shared" si="55"/>
        <v>62</v>
      </c>
      <c r="J682" s="3"/>
      <c r="K682" s="1"/>
      <c r="L682" s="1"/>
      <c r="M682" s="3"/>
      <c r="N682" s="6"/>
      <c r="O682" s="3"/>
      <c r="P682" s="3"/>
      <c r="Q682" s="3"/>
      <c r="R682" s="3"/>
      <c r="S682" s="3"/>
      <c r="T682" s="3"/>
    </row>
    <row r="683" spans="1:20">
      <c r="A683" s="1"/>
      <c r="B683" s="1"/>
      <c r="C683" s="1"/>
      <c r="D683" s="1"/>
      <c r="E683" s="1"/>
      <c r="F683" s="1"/>
      <c r="G683" s="1"/>
      <c r="H683" s="3"/>
      <c r="I683" s="4"/>
      <c r="J683" s="3"/>
      <c r="K683" s="1"/>
      <c r="L683" s="1"/>
      <c r="M683" s="3"/>
      <c r="N683" s="6"/>
      <c r="O683" s="3"/>
      <c r="P683" s="3"/>
      <c r="Q683" s="3"/>
      <c r="R683" s="3"/>
      <c r="S683" s="3"/>
      <c r="T683" s="3"/>
    </row>
    <row r="684" spans="1:20">
      <c r="A684" s="1"/>
      <c r="B684" s="1"/>
      <c r="C684" s="1"/>
      <c r="D684" s="14"/>
      <c r="E684" s="14"/>
      <c r="F684" s="207" t="s">
        <v>1091</v>
      </c>
      <c r="G684" s="25">
        <f>SUM(G676:G683)</f>
        <v>427</v>
      </c>
      <c r="H684" s="25">
        <f>SUM(H676:H683)</f>
        <v>130</v>
      </c>
      <c r="I684" s="84">
        <f>SUM(I676:I683)</f>
        <v>557</v>
      </c>
      <c r="J684" s="3"/>
      <c r="K684" s="1"/>
      <c r="L684" s="1"/>
      <c r="M684" s="3"/>
      <c r="N684" s="6"/>
      <c r="O684" s="3"/>
      <c r="P684" s="3"/>
      <c r="Q684" s="3"/>
      <c r="R684" s="3"/>
      <c r="S684" s="3"/>
      <c r="T684" s="3"/>
    </row>
  </sheetData>
  <mergeCells count="29">
    <mergeCell ref="S614:T614"/>
    <mergeCell ref="H3:J3"/>
    <mergeCell ref="Q611:R611"/>
    <mergeCell ref="S611:T611"/>
    <mergeCell ref="S612:T612"/>
    <mergeCell ref="S613:T613"/>
    <mergeCell ref="S615:T615"/>
    <mergeCell ref="S616:T616"/>
    <mergeCell ref="S617:T617"/>
    <mergeCell ref="S618:T618"/>
    <mergeCell ref="G642:H642"/>
    <mergeCell ref="I642:J642"/>
    <mergeCell ref="K642:L642"/>
    <mergeCell ref="M642:N642"/>
    <mergeCell ref="O642:P642"/>
    <mergeCell ref="G672:H672"/>
    <mergeCell ref="I672:J672"/>
    <mergeCell ref="K672:L672"/>
    <mergeCell ref="M672:P672"/>
    <mergeCell ref="G655:H655"/>
    <mergeCell ref="I655:J655"/>
    <mergeCell ref="K655:L655"/>
    <mergeCell ref="M655:N655"/>
    <mergeCell ref="O655:P655"/>
    <mergeCell ref="G659:H659"/>
    <mergeCell ref="I659:J659"/>
    <mergeCell ref="K659:L659"/>
    <mergeCell ref="M659:M660"/>
    <mergeCell ref="P659:P660"/>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David Villota Arteaga</dc:creator>
  <cp:lastModifiedBy>Jesus David Villota Arteaga</cp:lastModifiedBy>
  <dcterms:created xsi:type="dcterms:W3CDTF">2026-09-10T19:36:53Z</dcterms:created>
  <dcterms:modified xsi:type="dcterms:W3CDTF">2026-09-14T20:11:13Z</dcterms:modified>
</cp:coreProperties>
</file>